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datasheet" sheetId="1" r:id="rId1"/>
    <sheet name="chart" sheetId="2" r:id="rId2"/>
    <sheet name="Dashboard" sheetId="3" r:id="rId3"/>
  </sheets>
  <definedNames>
    <definedName name="Slicer_Performance">#N/A</definedName>
    <definedName name="Slicer_Department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<sst xmlns="http://schemas.openxmlformats.org/spreadsheetml/2006/main" count="705" uniqueCount="292">
  <si>
    <t>Employee ID</t>
  </si>
  <si>
    <t>Employee Name</t>
  </si>
  <si>
    <t>Department</t>
  </si>
  <si>
    <t>Designation</t>
  </si>
  <si>
    <t>Joining Date</t>
  </si>
  <si>
    <t>Basic Salary</t>
  </si>
  <si>
    <t>Allowance</t>
  </si>
  <si>
    <t>Bonus</t>
  </si>
  <si>
    <t>Working Days</t>
  </si>
  <si>
    <t>Present Days</t>
  </si>
  <si>
    <t>Sales Target</t>
  </si>
  <si>
    <t>Actual Sales</t>
  </si>
  <si>
    <t>Performance</t>
  </si>
  <si>
    <t>Email</t>
  </si>
  <si>
    <t>Gross Salary</t>
  </si>
  <si>
    <t>Attendance %</t>
  </si>
  <si>
    <t>Sales Difference</t>
  </si>
  <si>
    <t>Experience (Years)</t>
  </si>
  <si>
    <t>Bonus Eligibility</t>
  </si>
  <si>
    <t>Promotion</t>
  </si>
  <si>
    <t>Employee Rating</t>
  </si>
  <si>
    <t>EMP001</t>
  </si>
  <si>
    <t>Rupa Rahman</t>
  </si>
  <si>
    <t>IT</t>
  </si>
  <si>
    <t>Software Engineer</t>
  </si>
  <si>
    <t>Not Achieved</t>
  </si>
  <si>
    <t>rupa.rahman@company.com</t>
  </si>
  <si>
    <t>EMP002</t>
  </si>
  <si>
    <t>Nabila Islam</t>
  </si>
  <si>
    <t>HR</t>
  </si>
  <si>
    <t>Officer</t>
  </si>
  <si>
    <t>nabila.islam@company.com</t>
  </si>
  <si>
    <t>EMP003</t>
  </si>
  <si>
    <t>Rakib Ahmed</t>
  </si>
  <si>
    <t>Achieved</t>
  </si>
  <si>
    <t>rakib.ahmed@company.com</t>
  </si>
  <si>
    <t xml:space="preserve"> Summary</t>
  </si>
  <si>
    <t>EMP004</t>
  </si>
  <si>
    <t>Farhan Islam</t>
  </si>
  <si>
    <t>Marketing</t>
  </si>
  <si>
    <t>Executive</t>
  </si>
  <si>
    <t>farhan.islam@company.com</t>
  </si>
  <si>
    <t>Total Employees</t>
  </si>
  <si>
    <t>EMP005</t>
  </si>
  <si>
    <t>Fahim Rahman</t>
  </si>
  <si>
    <t>fahim.rahman@company.com</t>
  </si>
  <si>
    <t>Total Basic Salary</t>
  </si>
  <si>
    <t>EMP006</t>
  </si>
  <si>
    <t>Fahim Ahmed</t>
  </si>
  <si>
    <t>fahim.ahmed@company.com</t>
  </si>
  <si>
    <t>Average Salary</t>
  </si>
  <si>
    <t>EMP007</t>
  </si>
  <si>
    <t>Hasan Hasan</t>
  </si>
  <si>
    <t>Sales</t>
  </si>
  <si>
    <t>hasan.hasan@company.com</t>
  </si>
  <si>
    <t>Highest Salary</t>
  </si>
  <si>
    <t>EMP008</t>
  </si>
  <si>
    <t>Nabila Hasan</t>
  </si>
  <si>
    <t>nabila.hasan@company.com</t>
  </si>
  <si>
    <t>Lowest Salay</t>
  </si>
  <si>
    <t>EMP009</t>
  </si>
  <si>
    <t>Hasan Rahman</t>
  </si>
  <si>
    <t>hasan.rahman@company.com</t>
  </si>
  <si>
    <t>EMP010</t>
  </si>
  <si>
    <t>EMP011</t>
  </si>
  <si>
    <t>Rifat Rahman</t>
  </si>
  <si>
    <t>Finance</t>
  </si>
  <si>
    <t>Accountant</t>
  </si>
  <si>
    <t>rifat.rahman@company.com</t>
  </si>
  <si>
    <t>Report</t>
  </si>
  <si>
    <t>EMP012</t>
  </si>
  <si>
    <t>Tania Rahman</t>
  </si>
  <si>
    <t>tania.rahman@company.com</t>
  </si>
  <si>
    <t>EMP013</t>
  </si>
  <si>
    <t>Tanisha Karim</t>
  </si>
  <si>
    <t>tanisha.karim@company.com</t>
  </si>
  <si>
    <t>EMP014</t>
  </si>
  <si>
    <t>Fahim Islam</t>
  </si>
  <si>
    <t>fahim.islam@company.com</t>
  </si>
  <si>
    <t>EMP015</t>
  </si>
  <si>
    <t>Sazzad Rahman</t>
  </si>
  <si>
    <t>sazzad.rahman@company.com</t>
  </si>
  <si>
    <t>EMP016</t>
  </si>
  <si>
    <t>Farhan Hossain</t>
  </si>
  <si>
    <t>farhan.hossain@company.com</t>
  </si>
  <si>
    <t>Total Salary</t>
  </si>
  <si>
    <t>EMP017</t>
  </si>
  <si>
    <t>Sazzad Hasan</t>
  </si>
  <si>
    <t>sazzad.hasan@company.com</t>
  </si>
  <si>
    <t>EMP018</t>
  </si>
  <si>
    <t>Sohan Hossain</t>
  </si>
  <si>
    <t>sohan.hossain@company.com</t>
  </si>
  <si>
    <t>EMP019</t>
  </si>
  <si>
    <t>Nusrat Hasan</t>
  </si>
  <si>
    <t>nusrat.hasan@company.com</t>
  </si>
  <si>
    <t>EMP020</t>
  </si>
  <si>
    <t>Jannat Rahman</t>
  </si>
  <si>
    <t>jannat.rahman@company.com</t>
  </si>
  <si>
    <t>EMP021</t>
  </si>
  <si>
    <t>Tania Karim</t>
  </si>
  <si>
    <t>tania.karim@company.com</t>
  </si>
  <si>
    <t>VLOOKUP()</t>
  </si>
  <si>
    <t>EMP022</t>
  </si>
  <si>
    <t>Rupa Karim</t>
  </si>
  <si>
    <t>rupa.karim@company.com</t>
  </si>
  <si>
    <t>Employee id</t>
  </si>
  <si>
    <t>Name</t>
  </si>
  <si>
    <t>Salary</t>
  </si>
  <si>
    <t>EMP023</t>
  </si>
  <si>
    <t>Rakib Rahman</t>
  </si>
  <si>
    <t>rakib.rahman@company.com</t>
  </si>
  <si>
    <t>EMP024</t>
  </si>
  <si>
    <t>EMP025</t>
  </si>
  <si>
    <t>Tania Islam</t>
  </si>
  <si>
    <t>tania.islam@company.com</t>
  </si>
  <si>
    <t>PIVOT Table</t>
  </si>
  <si>
    <t>EMP026</t>
  </si>
  <si>
    <t>Count of Employee ID</t>
  </si>
  <si>
    <t>Sum of Basic Salary2</t>
  </si>
  <si>
    <t>Max of Basic Salary</t>
  </si>
  <si>
    <t>Average of Basic Salary</t>
  </si>
  <si>
    <t>EMP027</t>
  </si>
  <si>
    <t>Sadia Hossain</t>
  </si>
  <si>
    <t>sadia.hossain@company.com</t>
  </si>
  <si>
    <t>EMP028</t>
  </si>
  <si>
    <t>Rakib Hasan</t>
  </si>
  <si>
    <t>rakib.hasan@company.com</t>
  </si>
  <si>
    <t>EMP029</t>
  </si>
  <si>
    <t>Nayeem Islam</t>
  </si>
  <si>
    <t>nayeem.islam@company.com</t>
  </si>
  <si>
    <t>EMP030</t>
  </si>
  <si>
    <t>Arafat Rahman</t>
  </si>
  <si>
    <t>arafat.rahman@company.com</t>
  </si>
  <si>
    <t>EMP031</t>
  </si>
  <si>
    <t>Sabbir Hasan</t>
  </si>
  <si>
    <t>sabbir.hasan@company.com</t>
  </si>
  <si>
    <t>Grand Total</t>
  </si>
  <si>
    <t>EMP032</t>
  </si>
  <si>
    <t>EMP033</t>
  </si>
  <si>
    <t>Farhan Karim</t>
  </si>
  <si>
    <t>farhan.karim@company.com</t>
  </si>
  <si>
    <t>EMP034</t>
  </si>
  <si>
    <t>Nayeem Hasan</t>
  </si>
  <si>
    <t>nayeem.hasan@company.com</t>
  </si>
  <si>
    <t>EMP035</t>
  </si>
  <si>
    <t>Arafat Karim</t>
  </si>
  <si>
    <t>arafat.karim@company.com</t>
  </si>
  <si>
    <t>XLOOKUP()</t>
  </si>
  <si>
    <t>EMP036</t>
  </si>
  <si>
    <t>EMP037</t>
  </si>
  <si>
    <t>Sabbir Islam</t>
  </si>
  <si>
    <t>sabbir.islam@company.com</t>
  </si>
  <si>
    <t>EMP038</t>
  </si>
  <si>
    <t>EMP039</t>
  </si>
  <si>
    <t>EMP040</t>
  </si>
  <si>
    <t>Mim Hossain</t>
  </si>
  <si>
    <t>mim.hossain@company.com</t>
  </si>
  <si>
    <t>Index+Match</t>
  </si>
  <si>
    <t>EMP041</t>
  </si>
  <si>
    <t>Sadia Karim</t>
  </si>
  <si>
    <t>sadia.karim@company.com</t>
  </si>
  <si>
    <t>EMP042</t>
  </si>
  <si>
    <t>Adnan Hasan</t>
  </si>
  <si>
    <t>adnan.hasan@company.com</t>
  </si>
  <si>
    <t>EMP043</t>
  </si>
  <si>
    <t>EMP044</t>
  </si>
  <si>
    <t>EMP045</t>
  </si>
  <si>
    <t>Nabila Karim</t>
  </si>
  <si>
    <t>nabila.karim@company.com</t>
  </si>
  <si>
    <t>EMP046</t>
  </si>
  <si>
    <t>EMP047</t>
  </si>
  <si>
    <t>Tanisha Rahman</t>
  </si>
  <si>
    <t>tanisha.rahman@company.com</t>
  </si>
  <si>
    <t>EMP048</t>
  </si>
  <si>
    <t>Adnan Hossain</t>
  </si>
  <si>
    <t>adnan.hossain@company.com</t>
  </si>
  <si>
    <t>EMP049</t>
  </si>
  <si>
    <t>Nabila Hossain</t>
  </si>
  <si>
    <t>nabila.hossain@company.com</t>
  </si>
  <si>
    <t>EMP050</t>
  </si>
  <si>
    <t>Farhan Hasan</t>
  </si>
  <si>
    <t>farhan.hasan@company.com</t>
  </si>
  <si>
    <t>EMP051</t>
  </si>
  <si>
    <t>Sabbir Ahmed</t>
  </si>
  <si>
    <t>sabbir.ahmed@company.com</t>
  </si>
  <si>
    <t>EMP052</t>
  </si>
  <si>
    <t>Sazzad Islam</t>
  </si>
  <si>
    <t>sazzad.islam@company.com</t>
  </si>
  <si>
    <t>EMP053</t>
  </si>
  <si>
    <t>Farhan Rahman</t>
  </si>
  <si>
    <t>farhan.rahman@company.com</t>
  </si>
  <si>
    <t>EMP054</t>
  </si>
  <si>
    <t>Sohan Rahman</t>
  </si>
  <si>
    <t>sohan.rahman@company.com</t>
  </si>
  <si>
    <t>EMP055</t>
  </si>
  <si>
    <t>Hasan Ahmed</t>
  </si>
  <si>
    <t>hasan.ahmed@company.com</t>
  </si>
  <si>
    <t>EMP056</t>
  </si>
  <si>
    <t>Arafat Ahmed</t>
  </si>
  <si>
    <t>arafat.ahmed@company.com</t>
  </si>
  <si>
    <t>EMP057</t>
  </si>
  <si>
    <t>EMP058</t>
  </si>
  <si>
    <t>Sadia Islam</t>
  </si>
  <si>
    <t>sadia.islam@company.com</t>
  </si>
  <si>
    <t>EMP059</t>
  </si>
  <si>
    <t>Imran Ahmed</t>
  </si>
  <si>
    <t>imran.ahmed@company.com</t>
  </si>
  <si>
    <t>EMP060</t>
  </si>
  <si>
    <t>EMP061</t>
  </si>
  <si>
    <t>EMP062</t>
  </si>
  <si>
    <t>Tania Hasan</t>
  </si>
  <si>
    <t>tania.hasan@company.com</t>
  </si>
  <si>
    <t>EMP063</t>
  </si>
  <si>
    <t>EMP064</t>
  </si>
  <si>
    <t>EMP065</t>
  </si>
  <si>
    <t>Hasan Hossain</t>
  </si>
  <si>
    <t>hasan.hossain@company.com</t>
  </si>
  <si>
    <t>EMP066</t>
  </si>
  <si>
    <t>Tanisha Ahmed</t>
  </si>
  <si>
    <t>tanisha.ahmed@company.com</t>
  </si>
  <si>
    <t>EMP067</t>
  </si>
  <si>
    <t>Rifat Ahmed</t>
  </si>
  <si>
    <t>rifat.ahmed@company.com</t>
  </si>
  <si>
    <t>EMP068</t>
  </si>
  <si>
    <t>EMP069</t>
  </si>
  <si>
    <t>Nayeem Hossain</t>
  </si>
  <si>
    <t>nayeem.hoain@company.com</t>
  </si>
  <si>
    <t>EMP070</t>
  </si>
  <si>
    <t>Arafat Islam</t>
  </si>
  <si>
    <t>arafat.islam@company.com</t>
  </si>
  <si>
    <t>EMP071</t>
  </si>
  <si>
    <t>EMP072</t>
  </si>
  <si>
    <t>EMP073</t>
  </si>
  <si>
    <t>EMP074</t>
  </si>
  <si>
    <t>Rupa Islam</t>
  </si>
  <si>
    <t>rupa.islam@company.com</t>
  </si>
  <si>
    <t>EMP075</t>
  </si>
  <si>
    <t>Nayeem Rahman</t>
  </si>
  <si>
    <t>nayeem.rahman@company.com</t>
  </si>
  <si>
    <t>EMP076</t>
  </si>
  <si>
    <t>EMP077</t>
  </si>
  <si>
    <t>EMP078</t>
  </si>
  <si>
    <t>Rifat Karim</t>
  </si>
  <si>
    <t>rifat.karim@company.com</t>
  </si>
  <si>
    <t>EMP079</t>
  </si>
  <si>
    <t>EMP080</t>
  </si>
  <si>
    <t>EMP081</t>
  </si>
  <si>
    <t>EMP082</t>
  </si>
  <si>
    <t>EMP083</t>
  </si>
  <si>
    <t>Nabila Ahmed</t>
  </si>
  <si>
    <t>nabila.ahmed@company.com</t>
  </si>
  <si>
    <t>EMP084</t>
  </si>
  <si>
    <t>Nayeem Karim</t>
  </si>
  <si>
    <t>nayeem.karim@company.com</t>
  </si>
  <si>
    <t>EMP085</t>
  </si>
  <si>
    <t>Nayeem Ahmed</t>
  </si>
  <si>
    <t>nayeem.ahmed@company.com</t>
  </si>
  <si>
    <t>EMP086</t>
  </si>
  <si>
    <t>EMP087</t>
  </si>
  <si>
    <t>Arafat Hasan</t>
  </si>
  <si>
    <t>arafat.hasan@company.com</t>
  </si>
  <si>
    <t>EMP088</t>
  </si>
  <si>
    <t>Tanisha Islam</t>
  </si>
  <si>
    <t>tanisha.islam@company.com</t>
  </si>
  <si>
    <t>EMP089</t>
  </si>
  <si>
    <t>EMP090</t>
  </si>
  <si>
    <t>Nabila Rahman</t>
  </si>
  <si>
    <t>nabila.rahman@company.com</t>
  </si>
  <si>
    <t>EMP091</t>
  </si>
  <si>
    <t>Adnan Rahman</t>
  </si>
  <si>
    <t>adnan.rahman@company.com</t>
  </si>
  <si>
    <t>EMP092</t>
  </si>
  <si>
    <t>Fahim Hasan</t>
  </si>
  <si>
    <t>fahim.hasan@company.com</t>
  </si>
  <si>
    <t>EMP093</t>
  </si>
  <si>
    <t>EMP094</t>
  </si>
  <si>
    <t>EMP095</t>
  </si>
  <si>
    <t>Sohan Karim</t>
  </si>
  <si>
    <t>sohan.karim@company.com</t>
  </si>
  <si>
    <t>EMP096</t>
  </si>
  <si>
    <t>EMP097</t>
  </si>
  <si>
    <t>EMP098</t>
  </si>
  <si>
    <t>EMP099</t>
  </si>
  <si>
    <t>Fahim Hossain</t>
  </si>
  <si>
    <t>fahim.hossain@company.com</t>
  </si>
  <si>
    <t>EMP100</t>
  </si>
  <si>
    <t>Sum of Basic Salary</t>
  </si>
  <si>
    <t>Count of Department</t>
  </si>
  <si>
    <t>HR EMPLOYEE DASHBOARD</t>
  </si>
  <si>
    <t>Total Departments</t>
  </si>
  <si>
    <t>Department Wise Employee Count</t>
  </si>
  <si>
    <t>Employee Distribution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</si>
</sst>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8">
    <font>
      <sz val="11"/>
      <color theme="1"/>
      <name val="Calibri"/>
      <charset val="134"/>
      <scheme val="minor"/>
    </font>
    <font>
      <sz val="24"/>
      <color theme="0"/>
      <name val="Calibri"/>
      <charset val="134"/>
      <scheme val="minor"/>
    </font>
    <font>
      <sz val="11"/>
      <color rgb="FF7030A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6FC6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A82"/>
        <bgColor indexed="64"/>
      </patternFill>
    </fill>
    <fill>
      <patternFill patternType="solid">
        <fgColor rgb="FFF68B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20" applyNumberFormat="0" applyAlignment="0" applyProtection="0">
      <alignment vertical="center"/>
    </xf>
    <xf numFmtId="0" fontId="18" fillId="15" borderId="21" applyNumberFormat="0" applyAlignment="0" applyProtection="0">
      <alignment vertical="center"/>
    </xf>
    <xf numFmtId="0" fontId="19" fillId="15" borderId="20" applyNumberFormat="0" applyAlignment="0" applyProtection="0">
      <alignment vertical="center"/>
    </xf>
    <xf numFmtId="0" fontId="20" fillId="16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6" fontId="5" fillId="3" borderId="9" xfId="1" applyFont="1" applyFill="1" applyBorder="1" applyAlignment="1">
      <alignment horizontal="center" vertical="center"/>
    </xf>
    <xf numFmtId="176" fontId="5" fillId="3" borderId="10" xfId="1" applyFont="1" applyFill="1" applyBorder="1" applyAlignment="1">
      <alignment horizontal="center" vertical="center"/>
    </xf>
    <xf numFmtId="0" fontId="4" fillId="3" borderId="9" xfId="3" applyNumberFormat="1" applyFont="1" applyFill="1" applyBorder="1" applyAlignment="1">
      <alignment horizontal="center" vertical="center"/>
    </xf>
    <xf numFmtId="0" fontId="4" fillId="3" borderId="10" xfId="3" applyNumberFormat="1" applyFont="1" applyFill="1" applyBorder="1" applyAlignment="1">
      <alignment horizontal="center" vertical="center"/>
    </xf>
    <xf numFmtId="176" fontId="5" fillId="3" borderId="11" xfId="1" applyFont="1" applyFill="1" applyBorder="1" applyAlignment="1">
      <alignment horizontal="center" vertical="center"/>
    </xf>
    <xf numFmtId="176" fontId="5" fillId="3" borderId="12" xfId="1" applyFont="1" applyFill="1" applyBorder="1" applyAlignment="1">
      <alignment horizontal="center" vertical="center"/>
    </xf>
    <xf numFmtId="0" fontId="4" fillId="3" borderId="11" xfId="3" applyNumberFormat="1" applyFont="1" applyFill="1" applyBorder="1" applyAlignment="1">
      <alignment horizontal="center" vertical="center"/>
    </xf>
    <xf numFmtId="0" fontId="4" fillId="3" borderId="12" xfId="3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76" fontId="0" fillId="0" borderId="0" xfId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178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9" fontId="0" fillId="0" borderId="0" xfId="3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>
      <alignment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>
      <alignment vertical="center"/>
    </xf>
    <xf numFmtId="0" fontId="0" fillId="6" borderId="16" xfId="0" applyFont="1" applyFill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8" fillId="2" borderId="16" xfId="0" applyFont="1" applyFill="1" applyBorder="1" applyAlignment="1">
      <alignment vertical="center" wrapText="1"/>
    </xf>
    <xf numFmtId="0" fontId="0" fillId="0" borderId="0" xfId="0" applyNumberFormat="1" applyFont="1" applyFill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9" fillId="0" borderId="0" xfId="6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9">
    <dxf>
      <border>
        <top/>
      </border>
    </dxf>
    <dxf>
      <border>
        <top/>
      </border>
    </dxf>
    <dxf>
      <border>
        <top/>
      </border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numFmt numFmtId="178" formatCode="yyyy\-mm\-dd"/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font>
        <name val="Calibri"/>
        <scheme val="none"/>
        <charset val="0"/>
        <color rgb="FF000000"/>
      </font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4" tint="-0.499984740745262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  <dxf>
      <font>
        <color theme="4" tint="-0.499984740745262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TableStylePreset4_Accent1" pivot="0" count="7" xr9:uid="{E80031A0-62FC-435E-9621-CFD856E535BA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firstColumnStripe" dxfId="32"/>
    </tableStyle>
    <tableStyle name="PivotStylePreset2_Accent1" table="0" count="10" xr9:uid="{267968C8-6FFD-4C36-ACC1-9EA1FD1885CA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Row" dxfId="44"/>
      <tableStyleElement type="secondSubtotalRow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  <tableStyle name="PivotStylePreset4_Accent1" table="0" count="10" xr9:uid="{104E50B9-DFA3-438A-9E46-56171CCFB77F}">
      <tableStyleElement type="wholeTable" dxfId="58"/>
      <tableStyleElement type="totalRow" dxfId="57"/>
      <tableStyleElement type="firstColumn" dxfId="56"/>
      <tableStyleElement type="lastColumn" dxfId="55"/>
      <tableStyleElement type="firstRowStripe" dxfId="54"/>
      <tableStyleElement type="firstColumnStripe" dxfId="53"/>
      <tableStyleElement type="firstSubtotalColumn" dxfId="52"/>
      <tableStyleElement type="firstSubtotalRow" dxfId="51"/>
      <tableStyleElement type="secondSubtotalRow" dxfId="50"/>
      <tableStyleElement type="pageFieldLabels" dxfId="49"/>
    </tableStyle>
  </tableStyles>
  <colors>
    <mruColors>
      <color rgb="00FF8A82"/>
      <color rgb="006FC665"/>
      <color rgb="00F68B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chart!$A$4:$A$8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chart!$B$4:$B$8</c:f>
              <c:numCache>
                <c:formatCode>General</c:formatCode>
                <c:ptCount val="4"/>
                <c:pt idx="0">
                  <c:v>990000</c:v>
                </c:pt>
                <c:pt idx="1">
                  <c:v>475000</c:v>
                </c:pt>
                <c:pt idx="2">
                  <c:v>496000</c:v>
                </c:pt>
                <c:pt idx="3">
                  <c:v>496000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956521145"/>
        <c:axId val="354501511"/>
      </c:barChart>
      <c:catAx>
        <c:axId val="9565211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501511"/>
        <c:crosses val="autoZero"/>
        <c:auto val="1"/>
        <c:lblAlgn val="ctr"/>
        <c:lblOffset val="100"/>
        <c:noMultiLvlLbl val="0"/>
      </c:catAx>
      <c:valAx>
        <c:axId val="35450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5211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ded151-acba-4317-b147-ce888f8b6a8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chart!$A$18:$A$22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chart!$B$18:$B$22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97979461"/>
        <c:axId val="161684402"/>
      </c:barChart>
      <c:catAx>
        <c:axId val="2979794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684402"/>
        <c:crosses val="autoZero"/>
        <c:auto val="1"/>
        <c:lblAlgn val="ctr"/>
        <c:lblOffset val="100"/>
        <c:noMultiLvlLbl val="0"/>
      </c:catAx>
      <c:valAx>
        <c:axId val="1616844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9794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3abbdf-ed65-4b78-a8d0-cde770d9093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[HR_Employee_Dashboard.xlsx]chart!PivotTable4</c:name>
    <c:fmtId val="0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chart!$B$28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3"/>
              <c:layout>
                <c:manualLayout>
                  <c:x val="0.138947368421053"/>
                  <c:y val="-0.19166666666666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ln w="28575" cmpd="sng">
                        <a:noFill/>
                        <a:prstDash val="solid"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chart!$A$29:$A$33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chart!$B$29:$B$33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963144-3c5c-4462-90a6-155611e7170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chart!$A$4:$A$8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chart!$B$4:$B$8</c:f>
              <c:numCache>
                <c:formatCode>General</c:formatCode>
                <c:ptCount val="4"/>
                <c:pt idx="0">
                  <c:v>990000</c:v>
                </c:pt>
                <c:pt idx="1">
                  <c:v>475000</c:v>
                </c:pt>
                <c:pt idx="2">
                  <c:v>496000</c:v>
                </c:pt>
                <c:pt idx="3">
                  <c:v>496000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956521145"/>
        <c:axId val="354501511"/>
      </c:barChart>
      <c:catAx>
        <c:axId val="9565211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501511"/>
        <c:crosses val="autoZero"/>
        <c:auto val="1"/>
        <c:lblAlgn val="ctr"/>
        <c:lblOffset val="100"/>
        <c:noMultiLvlLbl val="0"/>
      </c:catAx>
      <c:valAx>
        <c:axId val="35450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5211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93303e-5062-4276-be06-635a1b0b96b1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chart!$A$18:$A$22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chart!$B$18:$B$22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97979461"/>
        <c:axId val="161684402"/>
      </c:barChart>
      <c:catAx>
        <c:axId val="2979794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684402"/>
        <c:crosses val="autoZero"/>
        <c:auto val="1"/>
        <c:lblAlgn val="ctr"/>
        <c:lblOffset val="100"/>
        <c:noMultiLvlLbl val="0"/>
      </c:catAx>
      <c:valAx>
        <c:axId val="1616844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9794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fe27eb-ff71-4877-badd-fac926b05f0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[HR_Employee_Dashboard.xlsx]chart!PivotTable4</c:name>
    <c:fmtId val="2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chart!$B$28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3"/>
              <c:layout>
                <c:manualLayout>
                  <c:x val="0.162958667856081"/>
                  <c:y val="0.066981672394043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ln w="28575" cmpd="sng">
                        <a:noFill/>
                        <a:prstDash val="solid"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chart!$A$29:$A$33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chart!$B$29:$B$33</c:f>
              <c:numCache>
                <c:formatCode>General</c:formatCode>
                <c:ptCount val="4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26d3dff-d6af-460e-8779-5218fc5651c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411480</xdr:colOff>
      <xdr:row>1</xdr:row>
      <xdr:rowOff>38100</xdr:rowOff>
    </xdr:from>
    <xdr:to>
      <xdr:col>8</xdr:col>
      <xdr:colOff>415290</xdr:colOff>
      <xdr:row>12</xdr:row>
      <xdr:rowOff>8890</xdr:rowOff>
    </xdr:to>
    <xdr:graphicFrame>
      <xdr:nvGraphicFramePr>
        <xdr:cNvPr id="2" name="Chart 1"/>
        <xdr:cNvGraphicFramePr/>
      </xdr:nvGraphicFramePr>
      <xdr:xfrm>
        <a:off x="2887980" y="220980"/>
        <a:ext cx="3661410" cy="198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14</xdr:row>
      <xdr:rowOff>20320</xdr:rowOff>
    </xdr:from>
    <xdr:to>
      <xdr:col>8</xdr:col>
      <xdr:colOff>467995</xdr:colOff>
      <xdr:row>23</xdr:row>
      <xdr:rowOff>127635</xdr:rowOff>
    </xdr:to>
    <xdr:graphicFrame>
      <xdr:nvGraphicFramePr>
        <xdr:cNvPr id="4" name="Chart 3"/>
        <xdr:cNvGraphicFramePr/>
      </xdr:nvGraphicFramePr>
      <xdr:xfrm>
        <a:off x="2910840" y="2580640"/>
        <a:ext cx="3691255" cy="1753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26</xdr:row>
      <xdr:rowOff>139700</xdr:rowOff>
    </xdr:from>
    <xdr:to>
      <xdr:col>9</xdr:col>
      <xdr:colOff>163195</xdr:colOff>
      <xdr:row>39</xdr:row>
      <xdr:rowOff>169545</xdr:rowOff>
    </xdr:to>
    <xdr:graphicFrame>
      <xdr:nvGraphicFramePr>
        <xdr:cNvPr id="5" name="Chart 4"/>
        <xdr:cNvGraphicFramePr/>
      </xdr:nvGraphicFramePr>
      <xdr:xfrm>
        <a:off x="2819400" y="4894580"/>
        <a:ext cx="4087495" cy="2407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182880</xdr:colOff>
      <xdr:row>20</xdr:row>
      <xdr:rowOff>83820</xdr:rowOff>
    </xdr:from>
    <xdr:to>
      <xdr:col>6</xdr:col>
      <xdr:colOff>186690</xdr:colOff>
      <xdr:row>31</xdr:row>
      <xdr:rowOff>54610</xdr:rowOff>
    </xdr:to>
    <xdr:graphicFrame>
      <xdr:nvGraphicFramePr>
        <xdr:cNvPr id="2" name="Chart 1"/>
        <xdr:cNvGraphicFramePr/>
      </xdr:nvGraphicFramePr>
      <xdr:xfrm>
        <a:off x="182880" y="3798570"/>
        <a:ext cx="3661410" cy="1982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20</xdr:row>
      <xdr:rowOff>114300</xdr:rowOff>
    </xdr:from>
    <xdr:to>
      <xdr:col>13</xdr:col>
      <xdr:colOff>490855</xdr:colOff>
      <xdr:row>31</xdr:row>
      <xdr:rowOff>58420</xdr:rowOff>
    </xdr:to>
    <xdr:graphicFrame>
      <xdr:nvGraphicFramePr>
        <xdr:cNvPr id="3" name="Chart 2"/>
        <xdr:cNvGraphicFramePr/>
      </xdr:nvGraphicFramePr>
      <xdr:xfrm>
        <a:off x="4457700" y="3829050"/>
        <a:ext cx="3957955" cy="195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167640</xdr:colOff>
      <xdr:row>35</xdr:row>
      <xdr:rowOff>144780</xdr:rowOff>
    </xdr:from>
    <xdr:to>
      <xdr:col>7</xdr:col>
      <xdr:colOff>396240</xdr:colOff>
      <xdr:row>51</xdr:row>
      <xdr:rowOff>47625</xdr:rowOff>
    </xdr:to>
    <xdr:graphicFrame>
      <xdr:nvGraphicFramePr>
        <xdr:cNvPr id="4" name="Chart 3"/>
        <xdr:cNvGraphicFramePr/>
      </xdr:nvGraphicFramePr>
      <xdr:xfrm>
        <a:off x="167640" y="6621780"/>
        <a:ext cx="4495800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434340</xdr:colOff>
      <xdr:row>2</xdr:row>
      <xdr:rowOff>121920</xdr:rowOff>
    </xdr:from>
    <xdr:to>
      <xdr:col>9</xdr:col>
      <xdr:colOff>434340</xdr:colOff>
      <xdr:row>15</xdr:row>
      <xdr:rowOff>104140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1940" y="487680"/>
              <a:ext cx="1828800" cy="2397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73660</xdr:colOff>
      <xdr:row>2</xdr:row>
      <xdr:rowOff>119380</xdr:rowOff>
    </xdr:from>
    <xdr:to>
      <xdr:col>13</xdr:col>
      <xdr:colOff>73660</xdr:colOff>
      <xdr:row>15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erforma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9660" y="485140"/>
              <a:ext cx="1828800" cy="2397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0512962963" refreshedBy="88017" recordCount="100">
  <cacheSource type="worksheet">
    <worksheetSource name="Employee_data"/>
  </cacheSource>
  <cacheFields count="21">
    <cacheField name="Employee ID" numFmtId="0">
      <sharedItems count="100"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</sharedItems>
    </cacheField>
    <cacheField name="Employee Name" numFmtId="0">
      <sharedItems count="67">
        <s v="Rupa Rahman"/>
        <s v="Nabila Islam"/>
        <s v="Rakib Ahmed"/>
        <s v="Farhan Islam"/>
        <s v="Fahim Rahman"/>
        <s v="Fahim Ahmed"/>
        <s v="Hasan Hasan"/>
        <s v="Nabila Hasan"/>
        <s v="Hasan Rahman"/>
        <s v="Rifat Rahman"/>
        <s v="Tania Rahman"/>
        <s v="Tanisha Karim"/>
        <s v="Fahim Islam"/>
        <s v="Sazzad Rahman"/>
        <s v="Farhan Hossain"/>
        <s v="Sazzad Hasan"/>
        <s v="Sohan Hossain"/>
        <s v="Nusrat Hasan"/>
        <s v="Jannat Rahman"/>
        <s v="Tania Karim"/>
        <s v="Rupa Karim"/>
        <s v="Rakib Rahman"/>
        <s v="Tania Islam"/>
        <s v="Sadia Hossain"/>
        <s v="Rakib Hasan"/>
        <s v="Nayeem Islam"/>
        <s v="Arafat Rahman"/>
        <s v="Sabbir Hasan"/>
        <s v="Farhan Karim"/>
        <s v="Nayeem Hasan"/>
        <s v="Arafat Karim"/>
        <s v="Sabbir Islam"/>
        <s v="Mim Hossain"/>
        <s v="Sadia Karim"/>
        <s v="Adnan Hasan"/>
        <s v="Nabila Karim"/>
        <s v="Tanisha Rahman"/>
        <s v="Adnan Hossain"/>
        <s v="Nabila Hossain"/>
        <s v="Farhan Hasan"/>
        <s v="Sabbir Ahmed"/>
        <s v="Sazzad Islam"/>
        <s v="Farhan Rahman"/>
        <s v="Sohan Rahman"/>
        <s v="Hasan Ahmed"/>
        <s v="Arafat Ahmed"/>
        <s v="Sadia Islam"/>
        <s v="Imran Ahmed"/>
        <s v="Tania Hasan"/>
        <s v="Hasan Hossain"/>
        <s v="Tanisha Ahmed"/>
        <s v="Rifat Ahmed"/>
        <s v="Nayeem Hossain"/>
        <s v="Arafat Islam"/>
        <s v="Rupa Islam"/>
        <s v="Nayeem Rahman"/>
        <s v="Rifat Karim"/>
        <s v="Nabila Ahmed"/>
        <s v="Nayeem Karim"/>
        <s v="Nayeem Ahmed"/>
        <s v="Arafat Hasan"/>
        <s v="Tanisha Islam"/>
        <s v="Nabila Rahman"/>
        <s v="Adnan Rahman"/>
        <s v="Fahim Hasan"/>
        <s v="Sohan Karim"/>
        <s v="Fahim Hossain"/>
      </sharedItems>
    </cacheField>
    <cacheField name="Department" numFmtId="0">
      <sharedItems count="5">
        <s v="IT"/>
        <s v="HR"/>
        <s v="Marketing"/>
        <s v="Sales"/>
        <s v="Finance"/>
      </sharedItems>
    </cacheField>
    <cacheField name="Designation" numFmtId="0">
      <sharedItems count="4">
        <s v="Software Engineer"/>
        <s v="Officer"/>
        <s v="Executive"/>
        <s v="Accountant"/>
      </sharedItems>
    </cacheField>
    <cacheField name="Joining Date" numFmtId="178">
      <sharedItems containsSemiMixedTypes="0" containsString="0" containsNonDate="0" containsDate="1" minDate="2020-01-29T00:00:00" maxDate="2025-12-05T00:00:00" count="97">
        <d v="2021-12-02T00:00:00"/>
        <d v="2021-12-25T00:00:00"/>
        <d v="2023-07-22T00:00:00"/>
        <d v="2020-01-29T00:00:00"/>
        <d v="2021-01-10T00:00:00"/>
        <d v="2025-12-01T00:00:00"/>
        <d v="2022-07-17T00:00:00"/>
        <d v="2024-08-15T00:00:00"/>
        <d v="2024-02-26T00:00:00"/>
        <d v="2025-09-27T00:00:00"/>
        <d v="2020-07-19T00:00:00"/>
        <d v="2022-01-03T00:00:00"/>
        <d v="2023-11-27T00:00:00"/>
        <d v="2022-10-25T00:00:00"/>
        <d v="2022-10-13T00:00:00"/>
        <d v="2025-01-28T00:00:00"/>
        <d v="2024-11-17T00:00:00"/>
        <d v="2024-12-16T00:00:00"/>
        <d v="2020-05-30T00:00:00"/>
        <d v="2024-06-10T00:00:00"/>
        <d v="2023-07-05T00:00:00"/>
        <d v="2022-03-27T00:00:00"/>
        <d v="2022-10-09T00:00:00"/>
        <d v="2025-03-12T00:00:00"/>
        <d v="2025-01-02T00:00:00"/>
        <d v="2023-12-14T00:00:00"/>
        <d v="2023-04-11T00:00:00"/>
        <d v="2025-11-27T00:00:00"/>
        <d v="2025-07-15T00:00:00"/>
        <d v="2020-06-11T00:00:00"/>
        <d v="2020-09-08T00:00:00"/>
        <d v="2025-07-30T00:00:00"/>
        <d v="2020-07-16T00:00:00"/>
        <d v="2024-04-14T00:00:00"/>
        <d v="2025-12-03T00:00:00"/>
        <d v="2020-02-15T00:00:00"/>
        <d v="2021-05-27T00:00:00"/>
        <d v="2020-06-13T00:00:00"/>
        <d v="2022-08-03T00:00:00"/>
        <d v="2022-09-19T00:00:00"/>
        <d v="2024-04-29T00:00:00"/>
        <d v="2025-03-15T00:00:00"/>
        <d v="2021-06-28T00:00:00"/>
        <d v="2024-06-21T00:00:00"/>
        <d v="2024-07-03T00:00:00"/>
        <d v="2025-09-29T00:00:00"/>
        <d v="2023-05-13T00:00:00"/>
        <d v="2025-07-03T00:00:00"/>
        <d v="2023-12-07T00:00:00"/>
        <d v="2023-04-27T00:00:00"/>
        <d v="2021-10-04T00:00:00"/>
        <d v="2023-04-16T00:00:00"/>
        <d v="2021-04-30T00:00:00"/>
        <d v="2020-07-30T00:00:00"/>
        <d v="2024-11-01T00:00:00"/>
        <d v="2024-06-22T00:00:00"/>
        <d v="2021-02-01T00:00:00"/>
        <d v="2021-02-13T00:00:00"/>
        <d v="2024-04-05T00:00:00"/>
        <d v="2022-12-09T00:00:00"/>
        <d v="2021-10-02T00:00:00"/>
        <d v="2024-08-09T00:00:00"/>
        <d v="2025-04-22T00:00:00"/>
        <d v="2022-07-07T00:00:00"/>
        <d v="2020-09-06T00:00:00"/>
        <d v="2022-07-11T00:00:00"/>
        <d v="2025-12-05T00:00:00"/>
        <d v="2021-07-31T00:00:00"/>
        <d v="2021-10-06T00:00:00"/>
        <d v="2023-05-18T00:00:00"/>
        <d v="2022-03-24T00:00:00"/>
        <d v="2025-07-09T00:00:00"/>
        <d v="2024-02-13T00:00:00"/>
        <d v="2022-04-12T00:00:00"/>
        <d v="2024-06-03T00:00:00"/>
        <d v="2024-03-04T00:00:00"/>
        <d v="2022-08-08T00:00:00"/>
        <d v="2023-06-07T00:00:00"/>
        <d v="2022-10-17T00:00:00"/>
        <d v="2022-01-20T00:00:00"/>
        <d v="2024-12-30T00:00:00"/>
        <d v="2020-12-15T00:00:00"/>
        <d v="2022-04-03T00:00:00"/>
        <d v="2020-11-17T00:00:00"/>
        <d v="2021-04-11T00:00:00"/>
        <d v="2023-12-03T00:00:00"/>
        <d v="2020-02-06T00:00:00"/>
        <d v="2022-10-30T00:00:00"/>
        <d v="2023-12-12T00:00:00"/>
        <d v="2021-08-04T00:00:00"/>
        <d v="2020-05-11T00:00:00"/>
        <d v="2021-11-12T00:00:00"/>
        <d v="2025-07-08T00:00:00"/>
        <d v="2022-11-04T00:00:00"/>
        <d v="2021-04-18T00:00:00"/>
        <d v="2021-09-24T00:00:00"/>
        <d v="2025-07-26T00:00:00"/>
      </sharedItems>
    </cacheField>
    <cacheField name="Basic Salary" numFmtId="0">
      <sharedItems containsSemiMixedTypes="0" containsString="0" containsNumber="1" containsInteger="1" minValue="0" maxValue="80000" count="49">
        <n v="72000"/>
        <n v="70000"/>
        <n v="78000"/>
        <n v="68000"/>
        <n v="74000"/>
        <n v="33000"/>
        <n v="65000"/>
        <n v="38000"/>
        <n v="80000"/>
        <n v="51000"/>
        <n v="79000"/>
        <n v="53000"/>
        <n v="41000"/>
        <n v="77000"/>
        <n v="71000"/>
        <n v="60000"/>
        <n v="31000"/>
        <n v="35000"/>
        <n v="54000"/>
        <n v="63000"/>
        <n v="58000"/>
        <n v="50000"/>
        <n v="32000"/>
        <n v="55000"/>
        <n v="76000"/>
        <n v="34000"/>
        <n v="45000"/>
        <n v="43000"/>
        <n v="39000"/>
        <n v="44000"/>
        <n v="37000"/>
        <n v="67000"/>
        <n v="61000"/>
        <n v="49000"/>
        <n v="52000"/>
        <n v="36000"/>
        <n v="73000"/>
        <n v="66000"/>
        <n v="62000"/>
        <n v="48000"/>
        <n v="40000"/>
        <n v="30000"/>
        <n v="46000"/>
        <n v="59000"/>
        <n v="69000"/>
        <n v="57000"/>
        <n v="47000"/>
        <n v="42000"/>
        <n v="64000"/>
      </sharedItems>
    </cacheField>
    <cacheField name="Allowance" numFmtId="0">
      <sharedItems containsSemiMixedTypes="0" containsString="0" containsNumber="1" containsInteger="1" minValue="0" maxValue="5000" count="8">
        <n v="1500"/>
        <n v="4500"/>
        <n v="2000"/>
        <n v="2500"/>
        <n v="3500"/>
        <n v="3000"/>
        <n v="5000"/>
        <n v="4000"/>
      </sharedItems>
    </cacheField>
    <cacheField name="Bonus" numFmtId="0">
      <sharedItems containsSemiMixedTypes="0" containsString="0" containsNumber="1" containsInteger="1" minValue="0" maxValue="4000" count="8">
        <n v="3000"/>
        <n v="4000"/>
        <n v="500"/>
        <n v="1500"/>
        <n v="2500"/>
        <n v="1000"/>
        <n v="3500"/>
        <n v="2000"/>
      </sharedItems>
    </cacheField>
    <cacheField name="Working Days" numFmtId="0">
      <sharedItems containsSemiMixedTypes="0" containsString="0" containsNumber="1" containsInteger="1" minValue="0" maxValue="26" count="1">
        <n v="26"/>
      </sharedItems>
    </cacheField>
    <cacheField name="Present Days" numFmtId="0">
      <sharedItems containsSemiMixedTypes="0" containsString="0" containsNumber="1" containsInteger="1" minValue="0" maxValue="26" count="7">
        <n v="25"/>
        <n v="20"/>
        <n v="22"/>
        <n v="21"/>
        <n v="23"/>
        <n v="24"/>
        <n v="26"/>
      </sharedItems>
    </cacheField>
    <cacheField name="Sales Target" numFmtId="0">
      <sharedItems containsSemiMixedTypes="0" containsString="0" containsNumber="1" containsInteger="1" minValue="0" maxValue="150000" count="60">
        <n v="127000"/>
        <n v="101000"/>
        <n v="88000"/>
        <n v="75000"/>
        <n v="143000"/>
        <n v="125000"/>
        <n v="146000"/>
        <n v="78000"/>
        <n v="148000"/>
        <n v="110000"/>
        <n v="140000"/>
        <n v="87000"/>
        <n v="93000"/>
        <n v="84000"/>
        <n v="149000"/>
        <n v="106000"/>
        <n v="72000"/>
        <n v="97000"/>
        <n v="137000"/>
        <n v="86000"/>
        <n v="73000"/>
        <n v="139000"/>
        <n v="83000"/>
        <n v="91000"/>
        <n v="104000"/>
        <n v="85000"/>
        <n v="111000"/>
        <n v="128000"/>
        <n v="119000"/>
        <n v="108000"/>
        <n v="131000"/>
        <n v="98000"/>
        <n v="117000"/>
        <n v="120000"/>
        <n v="145000"/>
        <n v="95000"/>
        <n v="114000"/>
        <n v="107000"/>
        <n v="130000"/>
        <n v="82000"/>
        <n v="132000"/>
        <n v="115000"/>
        <n v="105000"/>
        <n v="113000"/>
        <n v="134000"/>
        <n v="76000"/>
        <n v="71000"/>
        <n v="141000"/>
        <n v="99000"/>
        <n v="126000"/>
        <n v="142000"/>
        <n v="133000"/>
        <n v="136000"/>
        <n v="150000"/>
        <n v="116000"/>
        <n v="94000"/>
        <n v="74000"/>
        <n v="100000"/>
        <n v="92000"/>
        <n v="121000"/>
      </sharedItems>
    </cacheField>
    <cacheField name="Actual Sales" numFmtId="0">
      <sharedItems containsSemiMixedTypes="0" containsString="0" containsNumber="1" containsInteger="1" minValue="0" maxValue="169583" count="100">
        <n v="118932"/>
        <n v="90887"/>
        <n v="96578"/>
        <n v="96822"/>
        <n v="135243"/>
        <n v="141273"/>
        <n v="162931"/>
        <n v="85412"/>
        <n v="138460"/>
        <n v="135562"/>
        <n v="102905"/>
        <n v="154227"/>
        <n v="69573"/>
        <n v="98517"/>
        <n v="100890"/>
        <n v="169583"/>
        <n v="102408"/>
        <n v="92903"/>
        <n v="101696"/>
        <n v="150363"/>
        <n v="109021"/>
        <n v="79407"/>
        <n v="119165"/>
        <n v="96450"/>
        <n v="70571"/>
        <n v="99515"/>
        <n v="90160"/>
        <n v="92923"/>
        <n v="124544"/>
        <n v="146874"/>
        <n v="135586"/>
        <n v="162457"/>
        <n v="144524"/>
        <n v="100782"/>
        <n v="138706"/>
        <n v="91252"/>
        <n v="91708"/>
        <n v="131730"/>
        <n v="88165"/>
        <n v="128845"/>
        <n v="130376"/>
        <n v="92012"/>
        <n v="105014"/>
        <n v="135845"/>
        <n v="90935"/>
        <n v="127696"/>
        <n v="114411"/>
        <n v="106186"/>
        <n v="148789"/>
        <n v="86726"/>
        <n v="126318"/>
        <n v="130216"/>
        <n v="120073"/>
        <n v="103092"/>
        <n v="144073"/>
        <n v="93061"/>
        <n v="96555"/>
        <n v="73315"/>
        <n v="106528"/>
        <n v="65418"/>
        <n v="134040"/>
        <n v="91550"/>
        <n v="133968"/>
        <n v="93255"/>
        <n v="80407"/>
        <n v="153912"/>
        <n v="120997"/>
        <n v="64492"/>
        <n v="122559"/>
        <n v="125216"/>
        <n v="110651"/>
        <n v="134982"/>
        <n v="107389"/>
        <n v="119333"/>
        <n v="72351"/>
        <n v="121454"/>
        <n v="112791"/>
        <n v="105882"/>
        <n v="120448"/>
        <n v="98953"/>
        <n v="98577"/>
        <n v="97768"/>
        <n v="83512"/>
        <n v="131799"/>
        <n v="135580"/>
        <n v="141586"/>
        <n v="152472"/>
        <n v="93468"/>
        <n v="160478"/>
        <n v="134897"/>
        <n v="97168"/>
        <n v="99291"/>
        <n v="84248"/>
        <n v="75097"/>
        <n v="63521"/>
        <n v="169439"/>
        <n v="151682"/>
        <n v="95926"/>
        <n v="106558"/>
        <n v="113944"/>
      </sharedItems>
    </cacheField>
    <cacheField name="Performance" numFmtId="0">
      <sharedItems count="2">
        <s v="Not Achieved"/>
        <s v="Achieved"/>
      </sharedItems>
    </cacheField>
    <cacheField name="Email" numFmtId="0">
      <sharedItems count="67">
        <s v="rupa.rahman@company.com"/>
        <s v="nabila.islam@company.com"/>
        <s v="rakib.ahmed@company.com"/>
        <s v="farhan.islam@company.com"/>
        <s v="fahim.rahman@company.com"/>
        <s v="fahim.ahmed@company.com"/>
        <s v="hasan.hasan@company.com"/>
        <s v="nabila.hasan@company.com"/>
        <s v="hasan.rahman@company.com"/>
        <s v="rifat.rahman@company.com"/>
        <s v="tania.rahman@company.com"/>
        <s v="tanisha.karim@company.com"/>
        <s v="fahim.islam@company.com"/>
        <s v="sazzad.rahman@company.com"/>
        <s v="farhan.hossain@company.com"/>
        <s v="sazzad.hasan@company.com"/>
        <s v="sohan.hossain@company.com"/>
        <s v="nusrat.hasan@company.com"/>
        <s v="jannat.rahman@company.com"/>
        <s v="tania.karim@company.com"/>
        <s v="rupa.karim@company.com"/>
        <s v="rakib.rahman@company.com"/>
        <s v="tania.islam@company.com"/>
        <s v="sadia.hossain@company.com"/>
        <s v="rakib.hasan@company.com"/>
        <s v="nayeem.islam@company.com"/>
        <s v="arafat.rahman@company.com"/>
        <s v="sabbir.hasan@company.com"/>
        <s v="farhan.karim@company.com"/>
        <s v="nayeem.hasan@company.com"/>
        <s v="arafat.karim@company.com"/>
        <s v="sabbir.islam@company.com"/>
        <s v="mim.hossain@company.com"/>
        <s v="sadia.karim@company.com"/>
        <s v="adnan.hasan@company.com"/>
        <s v="nabila.karim@company.com"/>
        <s v="tanisha.rahman@company.com"/>
        <s v="adnan.hossain@company.com"/>
        <s v="nabila.hossain@company.com"/>
        <s v="farhan.hasan@company.com"/>
        <s v="sabbir.ahmed@company.com"/>
        <s v="sazzad.islam@company.com"/>
        <s v="farhan.rahman@company.com"/>
        <s v="sohan.rahman@company.com"/>
        <s v="hasan.ahmed@company.com"/>
        <s v="arafat.ahmed@company.com"/>
        <s v="sadia.islam@company.com"/>
        <s v="imran.ahmed@company.com"/>
        <s v="tania.hasan@company.com"/>
        <s v="hasan.hossain@company.com"/>
        <s v="tanisha.ahmed@company.com"/>
        <s v="rifat.ahmed@company.com"/>
        <s v="nayeem.hoain@company.com"/>
        <s v="arafat.islam@company.com"/>
        <s v="rupa.islam@company.com"/>
        <s v="nayeem.rahman@company.com"/>
        <s v="rifat.karim@company.com"/>
        <s v="nabila.ahmed@company.com"/>
        <s v="nayeem.karim@company.com"/>
        <s v="nayeem.ahmed@company.com"/>
        <s v="arafat.hasan@company.com"/>
        <s v="tanisha.islam@company.com"/>
        <s v="nabila.rahman@company.com"/>
        <s v="adnan.rahman@company.com"/>
        <s v="fahim.hasan@company.com"/>
        <s v="sohan.karim@company.com"/>
        <s v="fahim.hossain@company.com"/>
      </sharedItems>
    </cacheField>
    <cacheField name="Gross Salary" numFmtId="0">
      <sharedItems containsSemiMixedTypes="0" containsString="0" containsNumber="1" containsInteger="1" minValue="0" maxValue="87500" count="66">
        <n v="76500"/>
        <n v="78500"/>
        <n v="80500"/>
        <n v="74500"/>
        <n v="79000"/>
        <n v="39000"/>
        <n v="69000"/>
        <n v="81500"/>
        <n v="44000"/>
        <n v="87000"/>
        <n v="55500"/>
        <n v="41000"/>
        <n v="85500"/>
        <n v="58500"/>
        <n v="48000"/>
        <n v="81000"/>
        <n v="79500"/>
        <n v="87500"/>
        <n v="66000"/>
        <n v="37500"/>
        <n v="83500"/>
        <n v="42000"/>
        <n v="60000"/>
        <n v="72000"/>
        <n v="69500"/>
        <n v="64000"/>
        <n v="53000"/>
        <n v="38000"/>
        <n v="57000"/>
        <n v="78000"/>
        <n v="57500"/>
        <n v="37000"/>
        <n v="52000"/>
        <n v="44500"/>
        <n v="63000"/>
        <n v="50000"/>
        <n v="42500"/>
        <n v="68000"/>
        <n v="62500"/>
        <n v="72500"/>
        <n v="56500"/>
        <n v="59000"/>
        <n v="51500"/>
        <n v="84500"/>
        <n v="55000"/>
        <n v="52500"/>
        <n v="32500"/>
        <n v="83000"/>
        <n v="49500"/>
        <n v="64500"/>
        <n v="66500"/>
        <n v="35500"/>
        <n v="65000"/>
        <n v="63500"/>
        <n v="40500"/>
        <n v="77500"/>
        <n v="60500"/>
        <n v="71500"/>
        <n v="62000"/>
        <n v="48500"/>
        <n v="67500"/>
        <n v="46500"/>
        <n v="65500"/>
        <n v="54000"/>
        <n v="53500"/>
        <n v="67000"/>
      </sharedItems>
    </cacheField>
    <cacheField name="Attendance %" numFmtId="9">
      <sharedItems containsSemiMixedTypes="0" containsString="0" containsNumber="1" minValue="0" maxValue="1" count="7">
        <n v="0.961538461538462"/>
        <n v="0.769230769230769"/>
        <n v="0.846153846153846"/>
        <n v="0.807692307692308"/>
        <n v="0.884615384615385"/>
        <n v="0.923076923076923"/>
        <n v="1"/>
      </sharedItems>
    </cacheField>
    <cacheField name="Sales Difference" numFmtId="0">
      <sharedItems containsSemiMixedTypes="0" containsString="0" containsNumber="1" containsInteger="1" minValue="-19835" maxValue="24651" count="100">
        <n v="-8068"/>
        <n v="-10113"/>
        <n v="8578"/>
        <n v="21822"/>
        <n v="-7757"/>
        <n v="16273"/>
        <n v="16931"/>
        <n v="7412"/>
        <n v="-9540"/>
        <n v="8562"/>
        <n v="-7095"/>
        <n v="14227"/>
        <n v="-17427"/>
        <n v="5517"/>
        <n v="16890"/>
        <n v="20583"/>
        <n v="-3592"/>
        <n v="20903"/>
        <n v="4696"/>
        <n v="13363"/>
        <n v="23021"/>
        <n v="6407"/>
        <n v="-19835"/>
        <n v="9450"/>
        <n v="-12429"/>
        <n v="8515"/>
        <n v="-13840"/>
        <n v="7923"/>
        <n v="13544"/>
        <n v="18874"/>
        <n v="16586"/>
        <n v="16457"/>
        <n v="7524"/>
        <n v="-7218"/>
        <n v="7706"/>
        <n v="-5748"/>
        <n v="7708"/>
        <n v="6730"/>
        <n v="-9835"/>
        <n v="11845"/>
        <n v="10376"/>
        <n v="-15988"/>
        <n v="-13986"/>
        <n v="-9155"/>
        <n v="-4065"/>
        <n v="13696"/>
        <n v="7411"/>
        <n v="-3814"/>
        <n v="18789"/>
        <n v="4726"/>
        <n v="-5682"/>
        <n v="15216"/>
        <n v="15073"/>
        <n v="-9908"/>
        <n v="10073"/>
        <n v="17061"/>
        <n v="23555"/>
        <n v="2315"/>
        <n v="20528"/>
        <n v="-12582"/>
        <n v="-6960"/>
        <n v="550"/>
        <n v="3968"/>
        <n v="-5745"/>
        <n v="-14593"/>
        <n v="13912"/>
        <n v="1997"/>
        <n v="-7508"/>
        <n v="9559"/>
        <n v="-784"/>
        <n v="24651"/>
        <n v="-7018"/>
        <n v="-7611"/>
        <n v="-13667"/>
        <n v="351"/>
        <n v="-14546"/>
        <n v="1791"/>
        <n v="21882"/>
        <n v="-10552"/>
        <n v="15953"/>
        <n v="-15423"/>
        <n v="14768"/>
        <n v="-3488"/>
        <n v="-2201"/>
        <n v="-5420"/>
        <n v="24586"/>
        <n v="24472"/>
        <n v="-16532"/>
        <n v="10478"/>
        <n v="2897"/>
        <n v="12168"/>
        <n v="-16709"/>
        <n v="-9752"/>
        <n v="-18903"/>
        <n v="-10479"/>
        <n v="23439"/>
        <n v="12682"/>
        <n v="-4074"/>
        <n v="14558"/>
        <n v="-7056"/>
      </sharedItems>
    </cacheField>
    <cacheField name="Experience (Years)" numFmtId="0">
      <sharedItems containsSemiMixedTypes="0" containsString="0" containsNumber="1" containsInteger="1" minValue="0" maxValue="6" count="7">
        <n v="4"/>
        <n v="3"/>
        <n v="6"/>
        <n v="5"/>
        <n v="0"/>
        <n v="1"/>
        <n v="2"/>
      </sharedItems>
    </cacheField>
    <cacheField name="Bonus Eligibility" numFmtId="0">
      <sharedItems count="2">
        <s v="Not Eligible"/>
        <s v="Eligible"/>
      </sharedItems>
    </cacheField>
    <cacheField name="Promotion" numFmtId="0">
      <sharedItems count="2">
        <s v="Not Eligible"/>
        <s v="Eligible"/>
      </sharedItems>
    </cacheField>
    <cacheField name="Employee Rating" numFmtId="0">
      <sharedItems count="3">
        <s v="Need Improvement"/>
        <s v="Good"/>
        <s v="Excell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0"/>
    <x v="1"/>
    <x v="1"/>
    <x v="1"/>
    <x v="1"/>
    <x v="0"/>
    <x v="0"/>
    <x v="0"/>
    <x v="0"/>
  </r>
  <r>
    <x v="2"/>
    <x v="2"/>
    <x v="0"/>
    <x v="0"/>
    <x v="2"/>
    <x v="2"/>
    <x v="2"/>
    <x v="2"/>
    <x v="0"/>
    <x v="2"/>
    <x v="2"/>
    <x v="2"/>
    <x v="1"/>
    <x v="2"/>
    <x v="2"/>
    <x v="2"/>
    <x v="2"/>
    <x v="1"/>
    <x v="1"/>
    <x v="0"/>
    <x v="1"/>
  </r>
  <r>
    <x v="3"/>
    <x v="3"/>
    <x v="2"/>
    <x v="2"/>
    <x v="3"/>
    <x v="3"/>
    <x v="3"/>
    <x v="1"/>
    <x v="0"/>
    <x v="3"/>
    <x v="3"/>
    <x v="3"/>
    <x v="1"/>
    <x v="3"/>
    <x v="3"/>
    <x v="3"/>
    <x v="3"/>
    <x v="2"/>
    <x v="1"/>
    <x v="1"/>
    <x v="1"/>
  </r>
  <r>
    <x v="4"/>
    <x v="4"/>
    <x v="1"/>
    <x v="1"/>
    <x v="4"/>
    <x v="4"/>
    <x v="4"/>
    <x v="3"/>
    <x v="0"/>
    <x v="3"/>
    <x v="4"/>
    <x v="4"/>
    <x v="0"/>
    <x v="4"/>
    <x v="4"/>
    <x v="3"/>
    <x v="4"/>
    <x v="3"/>
    <x v="0"/>
    <x v="0"/>
    <x v="0"/>
  </r>
  <r>
    <x v="5"/>
    <x v="5"/>
    <x v="2"/>
    <x v="2"/>
    <x v="5"/>
    <x v="5"/>
    <x v="2"/>
    <x v="1"/>
    <x v="0"/>
    <x v="4"/>
    <x v="5"/>
    <x v="5"/>
    <x v="1"/>
    <x v="5"/>
    <x v="5"/>
    <x v="4"/>
    <x v="5"/>
    <x v="4"/>
    <x v="0"/>
    <x v="0"/>
    <x v="1"/>
  </r>
  <r>
    <x v="6"/>
    <x v="6"/>
    <x v="3"/>
    <x v="2"/>
    <x v="6"/>
    <x v="6"/>
    <x v="0"/>
    <x v="4"/>
    <x v="0"/>
    <x v="0"/>
    <x v="6"/>
    <x v="6"/>
    <x v="1"/>
    <x v="6"/>
    <x v="6"/>
    <x v="0"/>
    <x v="6"/>
    <x v="0"/>
    <x v="1"/>
    <x v="0"/>
    <x v="2"/>
  </r>
  <r>
    <x v="7"/>
    <x v="7"/>
    <x v="1"/>
    <x v="1"/>
    <x v="7"/>
    <x v="2"/>
    <x v="3"/>
    <x v="5"/>
    <x v="0"/>
    <x v="3"/>
    <x v="7"/>
    <x v="7"/>
    <x v="1"/>
    <x v="7"/>
    <x v="7"/>
    <x v="3"/>
    <x v="7"/>
    <x v="5"/>
    <x v="1"/>
    <x v="0"/>
    <x v="1"/>
  </r>
  <r>
    <x v="8"/>
    <x v="8"/>
    <x v="1"/>
    <x v="1"/>
    <x v="8"/>
    <x v="7"/>
    <x v="5"/>
    <x v="0"/>
    <x v="0"/>
    <x v="2"/>
    <x v="8"/>
    <x v="8"/>
    <x v="0"/>
    <x v="8"/>
    <x v="8"/>
    <x v="2"/>
    <x v="8"/>
    <x v="6"/>
    <x v="0"/>
    <x v="0"/>
    <x v="0"/>
  </r>
  <r>
    <x v="9"/>
    <x v="7"/>
    <x v="1"/>
    <x v="1"/>
    <x v="9"/>
    <x v="8"/>
    <x v="5"/>
    <x v="1"/>
    <x v="0"/>
    <x v="5"/>
    <x v="0"/>
    <x v="9"/>
    <x v="1"/>
    <x v="7"/>
    <x v="9"/>
    <x v="5"/>
    <x v="9"/>
    <x v="4"/>
    <x v="1"/>
    <x v="0"/>
    <x v="1"/>
  </r>
  <r>
    <x v="10"/>
    <x v="9"/>
    <x v="4"/>
    <x v="3"/>
    <x v="10"/>
    <x v="9"/>
    <x v="5"/>
    <x v="3"/>
    <x v="0"/>
    <x v="0"/>
    <x v="9"/>
    <x v="10"/>
    <x v="0"/>
    <x v="9"/>
    <x v="10"/>
    <x v="0"/>
    <x v="10"/>
    <x v="2"/>
    <x v="0"/>
    <x v="0"/>
    <x v="0"/>
  </r>
  <r>
    <x v="11"/>
    <x v="10"/>
    <x v="3"/>
    <x v="2"/>
    <x v="11"/>
    <x v="7"/>
    <x v="2"/>
    <x v="5"/>
    <x v="0"/>
    <x v="3"/>
    <x v="10"/>
    <x v="11"/>
    <x v="1"/>
    <x v="10"/>
    <x v="11"/>
    <x v="3"/>
    <x v="11"/>
    <x v="0"/>
    <x v="0"/>
    <x v="0"/>
    <x v="1"/>
  </r>
  <r>
    <x v="12"/>
    <x v="11"/>
    <x v="1"/>
    <x v="1"/>
    <x v="12"/>
    <x v="10"/>
    <x v="5"/>
    <x v="6"/>
    <x v="0"/>
    <x v="2"/>
    <x v="11"/>
    <x v="12"/>
    <x v="0"/>
    <x v="11"/>
    <x v="12"/>
    <x v="2"/>
    <x v="12"/>
    <x v="6"/>
    <x v="0"/>
    <x v="0"/>
    <x v="0"/>
  </r>
  <r>
    <x v="13"/>
    <x v="12"/>
    <x v="4"/>
    <x v="3"/>
    <x v="13"/>
    <x v="11"/>
    <x v="6"/>
    <x v="2"/>
    <x v="0"/>
    <x v="0"/>
    <x v="12"/>
    <x v="13"/>
    <x v="1"/>
    <x v="12"/>
    <x v="13"/>
    <x v="0"/>
    <x v="13"/>
    <x v="1"/>
    <x v="0"/>
    <x v="0"/>
    <x v="2"/>
  </r>
  <r>
    <x v="14"/>
    <x v="13"/>
    <x v="3"/>
    <x v="2"/>
    <x v="14"/>
    <x v="12"/>
    <x v="6"/>
    <x v="7"/>
    <x v="0"/>
    <x v="0"/>
    <x v="13"/>
    <x v="14"/>
    <x v="1"/>
    <x v="13"/>
    <x v="14"/>
    <x v="0"/>
    <x v="14"/>
    <x v="1"/>
    <x v="0"/>
    <x v="0"/>
    <x v="2"/>
  </r>
  <r>
    <x v="15"/>
    <x v="14"/>
    <x v="4"/>
    <x v="3"/>
    <x v="15"/>
    <x v="13"/>
    <x v="3"/>
    <x v="3"/>
    <x v="0"/>
    <x v="3"/>
    <x v="14"/>
    <x v="15"/>
    <x v="1"/>
    <x v="14"/>
    <x v="15"/>
    <x v="3"/>
    <x v="15"/>
    <x v="5"/>
    <x v="1"/>
    <x v="0"/>
    <x v="1"/>
  </r>
  <r>
    <x v="16"/>
    <x v="15"/>
    <x v="2"/>
    <x v="2"/>
    <x v="16"/>
    <x v="14"/>
    <x v="1"/>
    <x v="1"/>
    <x v="0"/>
    <x v="2"/>
    <x v="15"/>
    <x v="16"/>
    <x v="0"/>
    <x v="15"/>
    <x v="16"/>
    <x v="2"/>
    <x v="16"/>
    <x v="5"/>
    <x v="0"/>
    <x v="0"/>
    <x v="0"/>
  </r>
  <r>
    <x v="17"/>
    <x v="16"/>
    <x v="4"/>
    <x v="3"/>
    <x v="17"/>
    <x v="8"/>
    <x v="7"/>
    <x v="6"/>
    <x v="0"/>
    <x v="5"/>
    <x v="16"/>
    <x v="17"/>
    <x v="1"/>
    <x v="16"/>
    <x v="17"/>
    <x v="5"/>
    <x v="17"/>
    <x v="5"/>
    <x v="1"/>
    <x v="0"/>
    <x v="1"/>
  </r>
  <r>
    <x v="18"/>
    <x v="17"/>
    <x v="0"/>
    <x v="0"/>
    <x v="18"/>
    <x v="15"/>
    <x v="4"/>
    <x v="4"/>
    <x v="0"/>
    <x v="3"/>
    <x v="17"/>
    <x v="18"/>
    <x v="1"/>
    <x v="17"/>
    <x v="18"/>
    <x v="3"/>
    <x v="18"/>
    <x v="2"/>
    <x v="0"/>
    <x v="1"/>
    <x v="1"/>
  </r>
  <r>
    <x v="19"/>
    <x v="18"/>
    <x v="4"/>
    <x v="3"/>
    <x v="19"/>
    <x v="16"/>
    <x v="4"/>
    <x v="0"/>
    <x v="0"/>
    <x v="1"/>
    <x v="18"/>
    <x v="19"/>
    <x v="1"/>
    <x v="18"/>
    <x v="19"/>
    <x v="1"/>
    <x v="19"/>
    <x v="6"/>
    <x v="0"/>
    <x v="0"/>
    <x v="1"/>
  </r>
  <r>
    <x v="20"/>
    <x v="19"/>
    <x v="4"/>
    <x v="3"/>
    <x v="20"/>
    <x v="2"/>
    <x v="1"/>
    <x v="5"/>
    <x v="0"/>
    <x v="3"/>
    <x v="19"/>
    <x v="20"/>
    <x v="1"/>
    <x v="19"/>
    <x v="20"/>
    <x v="3"/>
    <x v="20"/>
    <x v="1"/>
    <x v="1"/>
    <x v="0"/>
    <x v="1"/>
  </r>
  <r>
    <x v="21"/>
    <x v="20"/>
    <x v="4"/>
    <x v="3"/>
    <x v="21"/>
    <x v="17"/>
    <x v="7"/>
    <x v="0"/>
    <x v="0"/>
    <x v="1"/>
    <x v="20"/>
    <x v="21"/>
    <x v="1"/>
    <x v="20"/>
    <x v="21"/>
    <x v="1"/>
    <x v="21"/>
    <x v="0"/>
    <x v="0"/>
    <x v="0"/>
    <x v="1"/>
  </r>
  <r>
    <x v="22"/>
    <x v="21"/>
    <x v="1"/>
    <x v="1"/>
    <x v="22"/>
    <x v="18"/>
    <x v="2"/>
    <x v="1"/>
    <x v="0"/>
    <x v="3"/>
    <x v="21"/>
    <x v="22"/>
    <x v="0"/>
    <x v="21"/>
    <x v="22"/>
    <x v="3"/>
    <x v="22"/>
    <x v="1"/>
    <x v="0"/>
    <x v="0"/>
    <x v="0"/>
  </r>
  <r>
    <x v="23"/>
    <x v="15"/>
    <x v="3"/>
    <x v="2"/>
    <x v="23"/>
    <x v="6"/>
    <x v="5"/>
    <x v="1"/>
    <x v="0"/>
    <x v="5"/>
    <x v="11"/>
    <x v="23"/>
    <x v="1"/>
    <x v="15"/>
    <x v="23"/>
    <x v="5"/>
    <x v="23"/>
    <x v="5"/>
    <x v="1"/>
    <x v="0"/>
    <x v="1"/>
  </r>
  <r>
    <x v="24"/>
    <x v="22"/>
    <x v="3"/>
    <x v="2"/>
    <x v="24"/>
    <x v="19"/>
    <x v="5"/>
    <x v="6"/>
    <x v="0"/>
    <x v="6"/>
    <x v="22"/>
    <x v="24"/>
    <x v="0"/>
    <x v="22"/>
    <x v="24"/>
    <x v="6"/>
    <x v="24"/>
    <x v="5"/>
    <x v="0"/>
    <x v="0"/>
    <x v="0"/>
  </r>
  <r>
    <x v="25"/>
    <x v="11"/>
    <x v="0"/>
    <x v="0"/>
    <x v="25"/>
    <x v="20"/>
    <x v="5"/>
    <x v="0"/>
    <x v="0"/>
    <x v="0"/>
    <x v="23"/>
    <x v="25"/>
    <x v="1"/>
    <x v="11"/>
    <x v="25"/>
    <x v="0"/>
    <x v="25"/>
    <x v="6"/>
    <x v="0"/>
    <x v="0"/>
    <x v="2"/>
  </r>
  <r>
    <x v="26"/>
    <x v="23"/>
    <x v="1"/>
    <x v="1"/>
    <x v="26"/>
    <x v="21"/>
    <x v="2"/>
    <x v="5"/>
    <x v="0"/>
    <x v="5"/>
    <x v="24"/>
    <x v="26"/>
    <x v="0"/>
    <x v="23"/>
    <x v="26"/>
    <x v="5"/>
    <x v="26"/>
    <x v="1"/>
    <x v="0"/>
    <x v="0"/>
    <x v="0"/>
  </r>
  <r>
    <x v="27"/>
    <x v="24"/>
    <x v="3"/>
    <x v="2"/>
    <x v="27"/>
    <x v="22"/>
    <x v="5"/>
    <x v="0"/>
    <x v="0"/>
    <x v="2"/>
    <x v="25"/>
    <x v="27"/>
    <x v="1"/>
    <x v="24"/>
    <x v="27"/>
    <x v="2"/>
    <x v="27"/>
    <x v="4"/>
    <x v="0"/>
    <x v="0"/>
    <x v="1"/>
  </r>
  <r>
    <x v="28"/>
    <x v="25"/>
    <x v="4"/>
    <x v="3"/>
    <x v="28"/>
    <x v="11"/>
    <x v="3"/>
    <x v="3"/>
    <x v="0"/>
    <x v="3"/>
    <x v="26"/>
    <x v="28"/>
    <x v="1"/>
    <x v="25"/>
    <x v="28"/>
    <x v="3"/>
    <x v="28"/>
    <x v="5"/>
    <x v="0"/>
    <x v="0"/>
    <x v="1"/>
  </r>
  <r>
    <x v="29"/>
    <x v="26"/>
    <x v="0"/>
    <x v="0"/>
    <x v="29"/>
    <x v="4"/>
    <x v="6"/>
    <x v="4"/>
    <x v="0"/>
    <x v="2"/>
    <x v="27"/>
    <x v="29"/>
    <x v="1"/>
    <x v="26"/>
    <x v="7"/>
    <x v="2"/>
    <x v="29"/>
    <x v="2"/>
    <x v="1"/>
    <x v="1"/>
    <x v="1"/>
  </r>
  <r>
    <x v="30"/>
    <x v="27"/>
    <x v="4"/>
    <x v="3"/>
    <x v="30"/>
    <x v="23"/>
    <x v="2"/>
    <x v="0"/>
    <x v="0"/>
    <x v="0"/>
    <x v="28"/>
    <x v="30"/>
    <x v="1"/>
    <x v="27"/>
    <x v="22"/>
    <x v="0"/>
    <x v="30"/>
    <x v="3"/>
    <x v="0"/>
    <x v="1"/>
    <x v="2"/>
  </r>
  <r>
    <x v="31"/>
    <x v="9"/>
    <x v="4"/>
    <x v="3"/>
    <x v="31"/>
    <x v="24"/>
    <x v="0"/>
    <x v="2"/>
    <x v="0"/>
    <x v="0"/>
    <x v="6"/>
    <x v="31"/>
    <x v="1"/>
    <x v="9"/>
    <x v="29"/>
    <x v="0"/>
    <x v="31"/>
    <x v="5"/>
    <x v="1"/>
    <x v="0"/>
    <x v="2"/>
  </r>
  <r>
    <x v="32"/>
    <x v="28"/>
    <x v="4"/>
    <x v="3"/>
    <x v="12"/>
    <x v="17"/>
    <x v="0"/>
    <x v="5"/>
    <x v="0"/>
    <x v="1"/>
    <x v="18"/>
    <x v="32"/>
    <x v="1"/>
    <x v="28"/>
    <x v="19"/>
    <x v="1"/>
    <x v="32"/>
    <x v="6"/>
    <x v="0"/>
    <x v="0"/>
    <x v="1"/>
  </r>
  <r>
    <x v="33"/>
    <x v="29"/>
    <x v="0"/>
    <x v="0"/>
    <x v="32"/>
    <x v="18"/>
    <x v="3"/>
    <x v="5"/>
    <x v="0"/>
    <x v="6"/>
    <x v="29"/>
    <x v="33"/>
    <x v="0"/>
    <x v="29"/>
    <x v="30"/>
    <x v="6"/>
    <x v="33"/>
    <x v="2"/>
    <x v="0"/>
    <x v="0"/>
    <x v="0"/>
  </r>
  <r>
    <x v="34"/>
    <x v="30"/>
    <x v="2"/>
    <x v="2"/>
    <x v="33"/>
    <x v="25"/>
    <x v="0"/>
    <x v="3"/>
    <x v="0"/>
    <x v="2"/>
    <x v="30"/>
    <x v="34"/>
    <x v="1"/>
    <x v="30"/>
    <x v="31"/>
    <x v="2"/>
    <x v="34"/>
    <x v="6"/>
    <x v="0"/>
    <x v="0"/>
    <x v="1"/>
  </r>
  <r>
    <x v="35"/>
    <x v="26"/>
    <x v="2"/>
    <x v="2"/>
    <x v="34"/>
    <x v="26"/>
    <x v="1"/>
    <x v="4"/>
    <x v="0"/>
    <x v="3"/>
    <x v="17"/>
    <x v="35"/>
    <x v="0"/>
    <x v="26"/>
    <x v="32"/>
    <x v="3"/>
    <x v="35"/>
    <x v="4"/>
    <x v="0"/>
    <x v="0"/>
    <x v="0"/>
  </r>
  <r>
    <x v="36"/>
    <x v="31"/>
    <x v="3"/>
    <x v="2"/>
    <x v="35"/>
    <x v="27"/>
    <x v="6"/>
    <x v="1"/>
    <x v="0"/>
    <x v="5"/>
    <x v="13"/>
    <x v="36"/>
    <x v="1"/>
    <x v="31"/>
    <x v="32"/>
    <x v="5"/>
    <x v="36"/>
    <x v="2"/>
    <x v="0"/>
    <x v="1"/>
    <x v="1"/>
  </r>
  <r>
    <x v="37"/>
    <x v="24"/>
    <x v="2"/>
    <x v="2"/>
    <x v="36"/>
    <x v="28"/>
    <x v="4"/>
    <x v="7"/>
    <x v="0"/>
    <x v="6"/>
    <x v="5"/>
    <x v="37"/>
    <x v="1"/>
    <x v="24"/>
    <x v="33"/>
    <x v="6"/>
    <x v="37"/>
    <x v="3"/>
    <x v="0"/>
    <x v="1"/>
    <x v="2"/>
  </r>
  <r>
    <x v="38"/>
    <x v="15"/>
    <x v="3"/>
    <x v="2"/>
    <x v="37"/>
    <x v="18"/>
    <x v="6"/>
    <x v="1"/>
    <x v="0"/>
    <x v="2"/>
    <x v="31"/>
    <x v="38"/>
    <x v="0"/>
    <x v="15"/>
    <x v="34"/>
    <x v="2"/>
    <x v="38"/>
    <x v="2"/>
    <x v="0"/>
    <x v="0"/>
    <x v="0"/>
  </r>
  <r>
    <x v="39"/>
    <x v="32"/>
    <x v="3"/>
    <x v="2"/>
    <x v="38"/>
    <x v="29"/>
    <x v="5"/>
    <x v="0"/>
    <x v="0"/>
    <x v="3"/>
    <x v="32"/>
    <x v="39"/>
    <x v="1"/>
    <x v="32"/>
    <x v="35"/>
    <x v="3"/>
    <x v="39"/>
    <x v="1"/>
    <x v="0"/>
    <x v="0"/>
    <x v="1"/>
  </r>
  <r>
    <x v="40"/>
    <x v="33"/>
    <x v="1"/>
    <x v="1"/>
    <x v="39"/>
    <x v="30"/>
    <x v="7"/>
    <x v="3"/>
    <x v="0"/>
    <x v="3"/>
    <x v="33"/>
    <x v="40"/>
    <x v="1"/>
    <x v="33"/>
    <x v="36"/>
    <x v="3"/>
    <x v="40"/>
    <x v="1"/>
    <x v="0"/>
    <x v="0"/>
    <x v="1"/>
  </r>
  <r>
    <x v="41"/>
    <x v="34"/>
    <x v="1"/>
    <x v="1"/>
    <x v="40"/>
    <x v="31"/>
    <x v="7"/>
    <x v="6"/>
    <x v="0"/>
    <x v="2"/>
    <x v="29"/>
    <x v="41"/>
    <x v="0"/>
    <x v="34"/>
    <x v="3"/>
    <x v="2"/>
    <x v="41"/>
    <x v="6"/>
    <x v="0"/>
    <x v="0"/>
    <x v="0"/>
  </r>
  <r>
    <x v="42"/>
    <x v="7"/>
    <x v="2"/>
    <x v="2"/>
    <x v="41"/>
    <x v="32"/>
    <x v="6"/>
    <x v="7"/>
    <x v="0"/>
    <x v="4"/>
    <x v="28"/>
    <x v="42"/>
    <x v="0"/>
    <x v="7"/>
    <x v="37"/>
    <x v="4"/>
    <x v="42"/>
    <x v="5"/>
    <x v="0"/>
    <x v="0"/>
    <x v="0"/>
  </r>
  <r>
    <x v="43"/>
    <x v="2"/>
    <x v="3"/>
    <x v="2"/>
    <x v="42"/>
    <x v="20"/>
    <x v="7"/>
    <x v="2"/>
    <x v="0"/>
    <x v="5"/>
    <x v="34"/>
    <x v="43"/>
    <x v="0"/>
    <x v="2"/>
    <x v="38"/>
    <x v="5"/>
    <x v="43"/>
    <x v="3"/>
    <x v="0"/>
    <x v="0"/>
    <x v="0"/>
  </r>
  <r>
    <x v="44"/>
    <x v="35"/>
    <x v="2"/>
    <x v="2"/>
    <x v="43"/>
    <x v="1"/>
    <x v="0"/>
    <x v="5"/>
    <x v="0"/>
    <x v="1"/>
    <x v="35"/>
    <x v="44"/>
    <x v="0"/>
    <x v="35"/>
    <x v="39"/>
    <x v="1"/>
    <x v="44"/>
    <x v="6"/>
    <x v="0"/>
    <x v="0"/>
    <x v="0"/>
  </r>
  <r>
    <x v="45"/>
    <x v="24"/>
    <x v="3"/>
    <x v="2"/>
    <x v="44"/>
    <x v="2"/>
    <x v="0"/>
    <x v="7"/>
    <x v="0"/>
    <x v="5"/>
    <x v="36"/>
    <x v="45"/>
    <x v="1"/>
    <x v="24"/>
    <x v="7"/>
    <x v="5"/>
    <x v="45"/>
    <x v="6"/>
    <x v="1"/>
    <x v="0"/>
    <x v="1"/>
  </r>
  <r>
    <x v="46"/>
    <x v="36"/>
    <x v="3"/>
    <x v="2"/>
    <x v="45"/>
    <x v="33"/>
    <x v="6"/>
    <x v="4"/>
    <x v="0"/>
    <x v="2"/>
    <x v="37"/>
    <x v="46"/>
    <x v="1"/>
    <x v="36"/>
    <x v="40"/>
    <x v="2"/>
    <x v="46"/>
    <x v="4"/>
    <x v="0"/>
    <x v="0"/>
    <x v="1"/>
  </r>
  <r>
    <x v="47"/>
    <x v="37"/>
    <x v="0"/>
    <x v="0"/>
    <x v="46"/>
    <x v="34"/>
    <x v="7"/>
    <x v="0"/>
    <x v="0"/>
    <x v="5"/>
    <x v="9"/>
    <x v="47"/>
    <x v="0"/>
    <x v="37"/>
    <x v="41"/>
    <x v="5"/>
    <x v="47"/>
    <x v="1"/>
    <x v="0"/>
    <x v="0"/>
    <x v="0"/>
  </r>
  <r>
    <x v="48"/>
    <x v="38"/>
    <x v="4"/>
    <x v="3"/>
    <x v="47"/>
    <x v="34"/>
    <x v="3"/>
    <x v="7"/>
    <x v="0"/>
    <x v="3"/>
    <x v="38"/>
    <x v="48"/>
    <x v="1"/>
    <x v="38"/>
    <x v="40"/>
    <x v="3"/>
    <x v="48"/>
    <x v="5"/>
    <x v="0"/>
    <x v="0"/>
    <x v="1"/>
  </r>
  <r>
    <x v="49"/>
    <x v="39"/>
    <x v="3"/>
    <x v="2"/>
    <x v="48"/>
    <x v="22"/>
    <x v="5"/>
    <x v="1"/>
    <x v="0"/>
    <x v="2"/>
    <x v="39"/>
    <x v="49"/>
    <x v="1"/>
    <x v="39"/>
    <x v="5"/>
    <x v="2"/>
    <x v="49"/>
    <x v="6"/>
    <x v="0"/>
    <x v="0"/>
    <x v="1"/>
  </r>
  <r>
    <x v="50"/>
    <x v="40"/>
    <x v="4"/>
    <x v="3"/>
    <x v="49"/>
    <x v="25"/>
    <x v="1"/>
    <x v="6"/>
    <x v="0"/>
    <x v="0"/>
    <x v="40"/>
    <x v="50"/>
    <x v="0"/>
    <x v="40"/>
    <x v="21"/>
    <x v="0"/>
    <x v="50"/>
    <x v="1"/>
    <x v="0"/>
    <x v="0"/>
    <x v="0"/>
  </r>
  <r>
    <x v="51"/>
    <x v="41"/>
    <x v="0"/>
    <x v="0"/>
    <x v="50"/>
    <x v="35"/>
    <x v="6"/>
    <x v="0"/>
    <x v="0"/>
    <x v="6"/>
    <x v="41"/>
    <x v="51"/>
    <x v="1"/>
    <x v="41"/>
    <x v="8"/>
    <x v="6"/>
    <x v="51"/>
    <x v="0"/>
    <x v="0"/>
    <x v="0"/>
    <x v="2"/>
  </r>
  <r>
    <x v="52"/>
    <x v="42"/>
    <x v="1"/>
    <x v="1"/>
    <x v="51"/>
    <x v="30"/>
    <x v="5"/>
    <x v="7"/>
    <x v="0"/>
    <x v="1"/>
    <x v="42"/>
    <x v="52"/>
    <x v="1"/>
    <x v="42"/>
    <x v="21"/>
    <x v="1"/>
    <x v="52"/>
    <x v="1"/>
    <x v="0"/>
    <x v="0"/>
    <x v="1"/>
  </r>
  <r>
    <x v="53"/>
    <x v="43"/>
    <x v="1"/>
    <x v="1"/>
    <x v="52"/>
    <x v="36"/>
    <x v="1"/>
    <x v="3"/>
    <x v="0"/>
    <x v="1"/>
    <x v="43"/>
    <x v="53"/>
    <x v="0"/>
    <x v="43"/>
    <x v="4"/>
    <x v="1"/>
    <x v="53"/>
    <x v="3"/>
    <x v="0"/>
    <x v="0"/>
    <x v="0"/>
  </r>
  <r>
    <x v="54"/>
    <x v="44"/>
    <x v="4"/>
    <x v="3"/>
    <x v="53"/>
    <x v="37"/>
    <x v="4"/>
    <x v="0"/>
    <x v="0"/>
    <x v="6"/>
    <x v="44"/>
    <x v="54"/>
    <x v="1"/>
    <x v="44"/>
    <x v="39"/>
    <x v="6"/>
    <x v="54"/>
    <x v="2"/>
    <x v="1"/>
    <x v="1"/>
    <x v="2"/>
  </r>
  <r>
    <x v="55"/>
    <x v="45"/>
    <x v="2"/>
    <x v="2"/>
    <x v="54"/>
    <x v="29"/>
    <x v="1"/>
    <x v="0"/>
    <x v="0"/>
    <x v="3"/>
    <x v="45"/>
    <x v="55"/>
    <x v="1"/>
    <x v="45"/>
    <x v="42"/>
    <x v="3"/>
    <x v="55"/>
    <x v="5"/>
    <x v="0"/>
    <x v="0"/>
    <x v="1"/>
  </r>
  <r>
    <x v="56"/>
    <x v="38"/>
    <x v="4"/>
    <x v="3"/>
    <x v="55"/>
    <x v="13"/>
    <x v="4"/>
    <x v="1"/>
    <x v="0"/>
    <x v="3"/>
    <x v="20"/>
    <x v="56"/>
    <x v="1"/>
    <x v="38"/>
    <x v="43"/>
    <x v="3"/>
    <x v="56"/>
    <x v="6"/>
    <x v="1"/>
    <x v="0"/>
    <x v="1"/>
  </r>
  <r>
    <x v="57"/>
    <x v="46"/>
    <x v="2"/>
    <x v="2"/>
    <x v="56"/>
    <x v="38"/>
    <x v="4"/>
    <x v="2"/>
    <x v="0"/>
    <x v="3"/>
    <x v="46"/>
    <x v="57"/>
    <x v="1"/>
    <x v="46"/>
    <x v="18"/>
    <x v="3"/>
    <x v="57"/>
    <x v="3"/>
    <x v="1"/>
    <x v="1"/>
    <x v="1"/>
  </r>
  <r>
    <x v="58"/>
    <x v="47"/>
    <x v="2"/>
    <x v="2"/>
    <x v="57"/>
    <x v="21"/>
    <x v="0"/>
    <x v="6"/>
    <x v="0"/>
    <x v="4"/>
    <x v="19"/>
    <x v="58"/>
    <x v="1"/>
    <x v="47"/>
    <x v="44"/>
    <x v="4"/>
    <x v="58"/>
    <x v="3"/>
    <x v="0"/>
    <x v="1"/>
    <x v="1"/>
  </r>
  <r>
    <x v="59"/>
    <x v="25"/>
    <x v="0"/>
    <x v="0"/>
    <x v="58"/>
    <x v="39"/>
    <x v="7"/>
    <x v="2"/>
    <x v="0"/>
    <x v="0"/>
    <x v="7"/>
    <x v="59"/>
    <x v="0"/>
    <x v="25"/>
    <x v="45"/>
    <x v="0"/>
    <x v="59"/>
    <x v="6"/>
    <x v="0"/>
    <x v="0"/>
    <x v="0"/>
  </r>
  <r>
    <x v="60"/>
    <x v="41"/>
    <x v="4"/>
    <x v="3"/>
    <x v="59"/>
    <x v="40"/>
    <x v="0"/>
    <x v="2"/>
    <x v="0"/>
    <x v="4"/>
    <x v="47"/>
    <x v="60"/>
    <x v="0"/>
    <x v="41"/>
    <x v="21"/>
    <x v="4"/>
    <x v="60"/>
    <x v="1"/>
    <x v="0"/>
    <x v="0"/>
    <x v="0"/>
  </r>
  <r>
    <x v="61"/>
    <x v="48"/>
    <x v="4"/>
    <x v="3"/>
    <x v="60"/>
    <x v="41"/>
    <x v="2"/>
    <x v="2"/>
    <x v="0"/>
    <x v="1"/>
    <x v="23"/>
    <x v="61"/>
    <x v="1"/>
    <x v="48"/>
    <x v="46"/>
    <x v="1"/>
    <x v="61"/>
    <x v="0"/>
    <x v="0"/>
    <x v="0"/>
    <x v="1"/>
  </r>
  <r>
    <x v="62"/>
    <x v="30"/>
    <x v="3"/>
    <x v="2"/>
    <x v="61"/>
    <x v="10"/>
    <x v="5"/>
    <x v="4"/>
    <x v="0"/>
    <x v="6"/>
    <x v="38"/>
    <x v="62"/>
    <x v="1"/>
    <x v="30"/>
    <x v="43"/>
    <x v="6"/>
    <x v="62"/>
    <x v="5"/>
    <x v="1"/>
    <x v="0"/>
    <x v="2"/>
  </r>
  <r>
    <x v="63"/>
    <x v="36"/>
    <x v="3"/>
    <x v="2"/>
    <x v="62"/>
    <x v="13"/>
    <x v="4"/>
    <x v="4"/>
    <x v="0"/>
    <x v="4"/>
    <x v="48"/>
    <x v="63"/>
    <x v="0"/>
    <x v="36"/>
    <x v="47"/>
    <x v="4"/>
    <x v="63"/>
    <x v="5"/>
    <x v="0"/>
    <x v="0"/>
    <x v="0"/>
  </r>
  <r>
    <x v="64"/>
    <x v="49"/>
    <x v="0"/>
    <x v="0"/>
    <x v="63"/>
    <x v="27"/>
    <x v="5"/>
    <x v="6"/>
    <x v="0"/>
    <x v="4"/>
    <x v="35"/>
    <x v="64"/>
    <x v="0"/>
    <x v="49"/>
    <x v="48"/>
    <x v="4"/>
    <x v="64"/>
    <x v="0"/>
    <x v="0"/>
    <x v="0"/>
    <x v="0"/>
  </r>
  <r>
    <x v="65"/>
    <x v="50"/>
    <x v="4"/>
    <x v="3"/>
    <x v="64"/>
    <x v="30"/>
    <x v="0"/>
    <x v="4"/>
    <x v="0"/>
    <x v="6"/>
    <x v="10"/>
    <x v="65"/>
    <x v="1"/>
    <x v="50"/>
    <x v="11"/>
    <x v="6"/>
    <x v="65"/>
    <x v="3"/>
    <x v="0"/>
    <x v="1"/>
    <x v="2"/>
  </r>
  <r>
    <x v="66"/>
    <x v="51"/>
    <x v="1"/>
    <x v="1"/>
    <x v="47"/>
    <x v="42"/>
    <x v="4"/>
    <x v="7"/>
    <x v="0"/>
    <x v="3"/>
    <x v="28"/>
    <x v="66"/>
    <x v="1"/>
    <x v="51"/>
    <x v="42"/>
    <x v="3"/>
    <x v="66"/>
    <x v="5"/>
    <x v="0"/>
    <x v="0"/>
    <x v="1"/>
  </r>
  <r>
    <x v="67"/>
    <x v="18"/>
    <x v="4"/>
    <x v="3"/>
    <x v="65"/>
    <x v="43"/>
    <x v="4"/>
    <x v="7"/>
    <x v="0"/>
    <x v="1"/>
    <x v="16"/>
    <x v="67"/>
    <x v="0"/>
    <x v="18"/>
    <x v="49"/>
    <x v="1"/>
    <x v="67"/>
    <x v="0"/>
    <x v="0"/>
    <x v="0"/>
    <x v="0"/>
  </r>
  <r>
    <x v="68"/>
    <x v="52"/>
    <x v="0"/>
    <x v="0"/>
    <x v="66"/>
    <x v="15"/>
    <x v="7"/>
    <x v="4"/>
    <x v="0"/>
    <x v="0"/>
    <x v="43"/>
    <x v="68"/>
    <x v="1"/>
    <x v="52"/>
    <x v="50"/>
    <x v="0"/>
    <x v="68"/>
    <x v="4"/>
    <x v="0"/>
    <x v="0"/>
    <x v="2"/>
  </r>
  <r>
    <x v="69"/>
    <x v="53"/>
    <x v="3"/>
    <x v="2"/>
    <x v="67"/>
    <x v="22"/>
    <x v="5"/>
    <x v="2"/>
    <x v="0"/>
    <x v="5"/>
    <x v="49"/>
    <x v="69"/>
    <x v="0"/>
    <x v="53"/>
    <x v="51"/>
    <x v="5"/>
    <x v="69"/>
    <x v="3"/>
    <x v="0"/>
    <x v="0"/>
    <x v="0"/>
  </r>
  <r>
    <x v="70"/>
    <x v="33"/>
    <x v="3"/>
    <x v="2"/>
    <x v="68"/>
    <x v="15"/>
    <x v="4"/>
    <x v="3"/>
    <x v="0"/>
    <x v="4"/>
    <x v="19"/>
    <x v="70"/>
    <x v="1"/>
    <x v="33"/>
    <x v="52"/>
    <x v="4"/>
    <x v="70"/>
    <x v="0"/>
    <x v="0"/>
    <x v="0"/>
    <x v="1"/>
  </r>
  <r>
    <x v="71"/>
    <x v="43"/>
    <x v="4"/>
    <x v="3"/>
    <x v="69"/>
    <x v="20"/>
    <x v="5"/>
    <x v="4"/>
    <x v="0"/>
    <x v="5"/>
    <x v="50"/>
    <x v="71"/>
    <x v="0"/>
    <x v="43"/>
    <x v="53"/>
    <x v="5"/>
    <x v="71"/>
    <x v="1"/>
    <x v="0"/>
    <x v="0"/>
    <x v="0"/>
  </r>
  <r>
    <x v="72"/>
    <x v="10"/>
    <x v="4"/>
    <x v="3"/>
    <x v="70"/>
    <x v="35"/>
    <x v="6"/>
    <x v="3"/>
    <x v="0"/>
    <x v="0"/>
    <x v="41"/>
    <x v="72"/>
    <x v="0"/>
    <x v="10"/>
    <x v="36"/>
    <x v="0"/>
    <x v="72"/>
    <x v="0"/>
    <x v="0"/>
    <x v="0"/>
    <x v="0"/>
  </r>
  <r>
    <x v="73"/>
    <x v="54"/>
    <x v="0"/>
    <x v="0"/>
    <x v="71"/>
    <x v="34"/>
    <x v="6"/>
    <x v="0"/>
    <x v="0"/>
    <x v="0"/>
    <x v="51"/>
    <x v="73"/>
    <x v="0"/>
    <x v="54"/>
    <x v="22"/>
    <x v="0"/>
    <x v="73"/>
    <x v="5"/>
    <x v="0"/>
    <x v="0"/>
    <x v="0"/>
  </r>
  <r>
    <x v="74"/>
    <x v="55"/>
    <x v="4"/>
    <x v="3"/>
    <x v="72"/>
    <x v="36"/>
    <x v="1"/>
    <x v="3"/>
    <x v="0"/>
    <x v="3"/>
    <x v="16"/>
    <x v="74"/>
    <x v="1"/>
    <x v="55"/>
    <x v="4"/>
    <x v="3"/>
    <x v="74"/>
    <x v="6"/>
    <x v="1"/>
    <x v="0"/>
    <x v="1"/>
  </r>
  <r>
    <x v="75"/>
    <x v="3"/>
    <x v="3"/>
    <x v="2"/>
    <x v="73"/>
    <x v="13"/>
    <x v="0"/>
    <x v="7"/>
    <x v="0"/>
    <x v="3"/>
    <x v="52"/>
    <x v="75"/>
    <x v="0"/>
    <x v="3"/>
    <x v="2"/>
    <x v="3"/>
    <x v="75"/>
    <x v="0"/>
    <x v="0"/>
    <x v="0"/>
    <x v="0"/>
  </r>
  <r>
    <x v="76"/>
    <x v="4"/>
    <x v="1"/>
    <x v="1"/>
    <x v="36"/>
    <x v="19"/>
    <x v="2"/>
    <x v="0"/>
    <x v="0"/>
    <x v="6"/>
    <x v="26"/>
    <x v="76"/>
    <x v="1"/>
    <x v="4"/>
    <x v="37"/>
    <x v="6"/>
    <x v="76"/>
    <x v="3"/>
    <x v="1"/>
    <x v="1"/>
    <x v="2"/>
  </r>
  <r>
    <x v="77"/>
    <x v="56"/>
    <x v="2"/>
    <x v="2"/>
    <x v="74"/>
    <x v="23"/>
    <x v="7"/>
    <x v="1"/>
    <x v="0"/>
    <x v="1"/>
    <x v="13"/>
    <x v="77"/>
    <x v="1"/>
    <x v="56"/>
    <x v="34"/>
    <x v="1"/>
    <x v="77"/>
    <x v="6"/>
    <x v="0"/>
    <x v="0"/>
    <x v="1"/>
  </r>
  <r>
    <x v="78"/>
    <x v="7"/>
    <x v="3"/>
    <x v="2"/>
    <x v="75"/>
    <x v="25"/>
    <x v="1"/>
    <x v="7"/>
    <x v="0"/>
    <x v="2"/>
    <x v="30"/>
    <x v="78"/>
    <x v="0"/>
    <x v="7"/>
    <x v="54"/>
    <x v="2"/>
    <x v="78"/>
    <x v="6"/>
    <x v="0"/>
    <x v="0"/>
    <x v="0"/>
  </r>
  <r>
    <x v="79"/>
    <x v="31"/>
    <x v="1"/>
    <x v="1"/>
    <x v="76"/>
    <x v="14"/>
    <x v="5"/>
    <x v="2"/>
    <x v="0"/>
    <x v="3"/>
    <x v="22"/>
    <x v="79"/>
    <x v="1"/>
    <x v="31"/>
    <x v="3"/>
    <x v="3"/>
    <x v="79"/>
    <x v="1"/>
    <x v="1"/>
    <x v="0"/>
    <x v="1"/>
  </r>
  <r>
    <x v="80"/>
    <x v="26"/>
    <x v="3"/>
    <x v="2"/>
    <x v="77"/>
    <x v="1"/>
    <x v="6"/>
    <x v="4"/>
    <x v="0"/>
    <x v="5"/>
    <x v="36"/>
    <x v="80"/>
    <x v="0"/>
    <x v="26"/>
    <x v="55"/>
    <x v="5"/>
    <x v="80"/>
    <x v="1"/>
    <x v="0"/>
    <x v="0"/>
    <x v="0"/>
  </r>
  <r>
    <x v="81"/>
    <x v="0"/>
    <x v="0"/>
    <x v="0"/>
    <x v="78"/>
    <x v="18"/>
    <x v="5"/>
    <x v="6"/>
    <x v="0"/>
    <x v="0"/>
    <x v="22"/>
    <x v="81"/>
    <x v="1"/>
    <x v="0"/>
    <x v="56"/>
    <x v="0"/>
    <x v="81"/>
    <x v="1"/>
    <x v="0"/>
    <x v="0"/>
    <x v="2"/>
  </r>
  <r>
    <x v="82"/>
    <x v="57"/>
    <x v="4"/>
    <x v="3"/>
    <x v="79"/>
    <x v="36"/>
    <x v="6"/>
    <x v="4"/>
    <x v="0"/>
    <x v="4"/>
    <x v="11"/>
    <x v="82"/>
    <x v="0"/>
    <x v="57"/>
    <x v="2"/>
    <x v="4"/>
    <x v="82"/>
    <x v="0"/>
    <x v="0"/>
    <x v="0"/>
    <x v="0"/>
  </r>
  <r>
    <x v="83"/>
    <x v="58"/>
    <x v="0"/>
    <x v="0"/>
    <x v="80"/>
    <x v="44"/>
    <x v="2"/>
    <x v="2"/>
    <x v="0"/>
    <x v="6"/>
    <x v="44"/>
    <x v="83"/>
    <x v="0"/>
    <x v="58"/>
    <x v="57"/>
    <x v="6"/>
    <x v="83"/>
    <x v="5"/>
    <x v="0"/>
    <x v="0"/>
    <x v="0"/>
  </r>
  <r>
    <x v="84"/>
    <x v="59"/>
    <x v="3"/>
    <x v="2"/>
    <x v="81"/>
    <x v="45"/>
    <x v="3"/>
    <x v="4"/>
    <x v="0"/>
    <x v="4"/>
    <x v="47"/>
    <x v="84"/>
    <x v="0"/>
    <x v="59"/>
    <x v="58"/>
    <x v="4"/>
    <x v="84"/>
    <x v="3"/>
    <x v="0"/>
    <x v="0"/>
    <x v="0"/>
  </r>
  <r>
    <x v="85"/>
    <x v="9"/>
    <x v="4"/>
    <x v="3"/>
    <x v="82"/>
    <x v="46"/>
    <x v="3"/>
    <x v="7"/>
    <x v="0"/>
    <x v="1"/>
    <x v="32"/>
    <x v="85"/>
    <x v="1"/>
    <x v="9"/>
    <x v="42"/>
    <x v="1"/>
    <x v="85"/>
    <x v="0"/>
    <x v="0"/>
    <x v="0"/>
    <x v="1"/>
  </r>
  <r>
    <x v="86"/>
    <x v="60"/>
    <x v="2"/>
    <x v="2"/>
    <x v="83"/>
    <x v="30"/>
    <x v="5"/>
    <x v="7"/>
    <x v="0"/>
    <x v="0"/>
    <x v="27"/>
    <x v="86"/>
    <x v="1"/>
    <x v="60"/>
    <x v="21"/>
    <x v="0"/>
    <x v="86"/>
    <x v="3"/>
    <x v="0"/>
    <x v="1"/>
    <x v="2"/>
  </r>
  <r>
    <x v="87"/>
    <x v="61"/>
    <x v="0"/>
    <x v="0"/>
    <x v="84"/>
    <x v="26"/>
    <x v="0"/>
    <x v="7"/>
    <x v="0"/>
    <x v="3"/>
    <x v="9"/>
    <x v="87"/>
    <x v="0"/>
    <x v="61"/>
    <x v="59"/>
    <x v="3"/>
    <x v="87"/>
    <x v="3"/>
    <x v="0"/>
    <x v="0"/>
    <x v="0"/>
  </r>
  <r>
    <x v="88"/>
    <x v="29"/>
    <x v="4"/>
    <x v="3"/>
    <x v="85"/>
    <x v="17"/>
    <x v="7"/>
    <x v="6"/>
    <x v="0"/>
    <x v="3"/>
    <x v="53"/>
    <x v="88"/>
    <x v="1"/>
    <x v="29"/>
    <x v="36"/>
    <x v="3"/>
    <x v="88"/>
    <x v="6"/>
    <x v="0"/>
    <x v="0"/>
    <x v="1"/>
  </r>
  <r>
    <x v="89"/>
    <x v="62"/>
    <x v="0"/>
    <x v="0"/>
    <x v="86"/>
    <x v="24"/>
    <x v="4"/>
    <x v="1"/>
    <x v="0"/>
    <x v="2"/>
    <x v="40"/>
    <x v="89"/>
    <x v="1"/>
    <x v="62"/>
    <x v="20"/>
    <x v="2"/>
    <x v="89"/>
    <x v="2"/>
    <x v="1"/>
    <x v="1"/>
    <x v="1"/>
  </r>
  <r>
    <x v="90"/>
    <x v="63"/>
    <x v="1"/>
    <x v="1"/>
    <x v="87"/>
    <x v="19"/>
    <x v="5"/>
    <x v="3"/>
    <x v="0"/>
    <x v="3"/>
    <x v="25"/>
    <x v="90"/>
    <x v="1"/>
    <x v="63"/>
    <x v="60"/>
    <x v="3"/>
    <x v="90"/>
    <x v="1"/>
    <x v="1"/>
    <x v="0"/>
    <x v="1"/>
  </r>
  <r>
    <x v="91"/>
    <x v="64"/>
    <x v="3"/>
    <x v="2"/>
    <x v="88"/>
    <x v="47"/>
    <x v="5"/>
    <x v="3"/>
    <x v="0"/>
    <x v="1"/>
    <x v="54"/>
    <x v="91"/>
    <x v="0"/>
    <x v="64"/>
    <x v="61"/>
    <x v="1"/>
    <x v="91"/>
    <x v="6"/>
    <x v="0"/>
    <x v="0"/>
    <x v="0"/>
  </r>
  <r>
    <x v="92"/>
    <x v="38"/>
    <x v="1"/>
    <x v="1"/>
    <x v="89"/>
    <x v="32"/>
    <x v="3"/>
    <x v="7"/>
    <x v="0"/>
    <x v="1"/>
    <x v="55"/>
    <x v="92"/>
    <x v="0"/>
    <x v="38"/>
    <x v="62"/>
    <x v="1"/>
    <x v="92"/>
    <x v="0"/>
    <x v="0"/>
    <x v="0"/>
    <x v="0"/>
  </r>
  <r>
    <x v="93"/>
    <x v="41"/>
    <x v="4"/>
    <x v="3"/>
    <x v="90"/>
    <x v="11"/>
    <x v="2"/>
    <x v="3"/>
    <x v="0"/>
    <x v="2"/>
    <x v="55"/>
    <x v="93"/>
    <x v="0"/>
    <x v="41"/>
    <x v="40"/>
    <x v="2"/>
    <x v="93"/>
    <x v="2"/>
    <x v="0"/>
    <x v="0"/>
    <x v="0"/>
  </r>
  <r>
    <x v="94"/>
    <x v="65"/>
    <x v="4"/>
    <x v="3"/>
    <x v="91"/>
    <x v="21"/>
    <x v="5"/>
    <x v="1"/>
    <x v="0"/>
    <x v="1"/>
    <x v="56"/>
    <x v="94"/>
    <x v="0"/>
    <x v="65"/>
    <x v="28"/>
    <x v="1"/>
    <x v="94"/>
    <x v="0"/>
    <x v="0"/>
    <x v="0"/>
    <x v="0"/>
  </r>
  <r>
    <x v="95"/>
    <x v="41"/>
    <x v="3"/>
    <x v="2"/>
    <x v="92"/>
    <x v="39"/>
    <x v="7"/>
    <x v="7"/>
    <x v="0"/>
    <x v="4"/>
    <x v="6"/>
    <x v="95"/>
    <x v="1"/>
    <x v="41"/>
    <x v="63"/>
    <x v="4"/>
    <x v="95"/>
    <x v="5"/>
    <x v="0"/>
    <x v="0"/>
    <x v="1"/>
  </r>
  <r>
    <x v="96"/>
    <x v="40"/>
    <x v="2"/>
    <x v="2"/>
    <x v="93"/>
    <x v="4"/>
    <x v="3"/>
    <x v="0"/>
    <x v="0"/>
    <x v="3"/>
    <x v="21"/>
    <x v="96"/>
    <x v="1"/>
    <x v="40"/>
    <x v="16"/>
    <x v="3"/>
    <x v="96"/>
    <x v="1"/>
    <x v="1"/>
    <x v="0"/>
    <x v="1"/>
  </r>
  <r>
    <x v="97"/>
    <x v="53"/>
    <x v="2"/>
    <x v="2"/>
    <x v="94"/>
    <x v="39"/>
    <x v="6"/>
    <x v="2"/>
    <x v="0"/>
    <x v="5"/>
    <x v="57"/>
    <x v="97"/>
    <x v="0"/>
    <x v="53"/>
    <x v="64"/>
    <x v="5"/>
    <x v="97"/>
    <x v="3"/>
    <x v="0"/>
    <x v="0"/>
    <x v="0"/>
  </r>
  <r>
    <x v="98"/>
    <x v="66"/>
    <x v="3"/>
    <x v="2"/>
    <x v="95"/>
    <x v="19"/>
    <x v="6"/>
    <x v="6"/>
    <x v="0"/>
    <x v="0"/>
    <x v="58"/>
    <x v="98"/>
    <x v="1"/>
    <x v="66"/>
    <x v="57"/>
    <x v="0"/>
    <x v="98"/>
    <x v="0"/>
    <x v="1"/>
    <x v="0"/>
    <x v="2"/>
  </r>
  <r>
    <x v="99"/>
    <x v="10"/>
    <x v="2"/>
    <x v="2"/>
    <x v="96"/>
    <x v="48"/>
    <x v="2"/>
    <x v="5"/>
    <x v="0"/>
    <x v="5"/>
    <x v="59"/>
    <x v="99"/>
    <x v="0"/>
    <x v="10"/>
    <x v="65"/>
    <x v="5"/>
    <x v="99"/>
    <x v="5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W27:AA32" firstHeaderRow="0" firstDataRow="1" firstDataCol="1"/>
  <pivotFields count="2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axis="axisRow"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dataField="1"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Employee ID" fld="0" subtotal="count" baseField="0" baseItem="0"/>
    <dataField name="Sum of Basic Salary2" fld="5" baseField="0" baseItem="0"/>
    <dataField name="Max of Basic Salary" fld="5" subtotal="max" baseField="0" baseItem="0"/>
    <dataField name="Average of Basic Salary" fld="5" subtotal="average" baseField="0" baseItem="0"/>
  </dataFields>
  <formats count="3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4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axis="axisRow" compact="0" multipleItemSelectionAllowed="1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dataField="1"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sic Salar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B22" firstHeaderRow="1" firstDataRow="1" firstDataCol="1"/>
  <pivotFields count="2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axis="axisRow"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8:B33" firstHeaderRow="1" firstDataRow="1" firstDataCol="1"/>
  <pivotFields count="2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axis="axisRow"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5:A46" firstHeaderRow="1" firstDataRow="1" firstDataCol="0"/>
  <pivotFields count="2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dataFields count="1">
    <dataField name="Count of Employe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8:A49" firstHeaderRow="1" firstDataRow="1" firstDataCol="0"/>
  <pivotFields count="2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dataField="1"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dataFields count="1">
    <dataField name="Sum of Basic Salary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1:A52" firstHeaderRow="1" firstDataRow="1" firstDataCol="0"/>
  <pivotFields count="2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dataField="1"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compact="0" showAll="0">
      <items count="3">
        <item x="1"/>
        <item h="1"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dataFields count="1">
    <dataField name="Average of Basic Salary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5:B57" firstHeaderRow="1" firstDataRow="1" firstDataCol="1"/>
  <pivotFields count="21">
    <pivotField dataField="1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">
        <item x="4"/>
        <item x="1"/>
        <item x="0"/>
        <item x="2"/>
        <item h="1" x="3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numFmtId="178" showAll="0">
      <items count="98">
        <item x="3"/>
        <item x="86"/>
        <item x="35"/>
        <item x="90"/>
        <item x="18"/>
        <item x="29"/>
        <item x="37"/>
        <item x="32"/>
        <item x="10"/>
        <item x="53"/>
        <item x="64"/>
        <item x="30"/>
        <item x="83"/>
        <item x="81"/>
        <item x="4"/>
        <item x="56"/>
        <item x="57"/>
        <item x="84"/>
        <item x="94"/>
        <item x="52"/>
        <item x="36"/>
        <item x="42"/>
        <item x="67"/>
        <item x="89"/>
        <item x="95"/>
        <item x="60"/>
        <item x="50"/>
        <item x="68"/>
        <item x="91"/>
        <item x="0"/>
        <item x="1"/>
        <item x="11"/>
        <item x="79"/>
        <item x="70"/>
        <item x="21"/>
        <item x="82"/>
        <item x="73"/>
        <item x="63"/>
        <item x="65"/>
        <item x="6"/>
        <item x="38"/>
        <item x="76"/>
        <item x="39"/>
        <item x="22"/>
        <item x="14"/>
        <item x="78"/>
        <item x="13"/>
        <item x="87"/>
        <item x="93"/>
        <item x="59"/>
        <item x="26"/>
        <item x="51"/>
        <item x="49"/>
        <item x="46"/>
        <item x="69"/>
        <item x="77"/>
        <item x="20"/>
        <item x="2"/>
        <item x="12"/>
        <item x="85"/>
        <item x="48"/>
        <item x="88"/>
        <item x="25"/>
        <item x="72"/>
        <item x="8"/>
        <item x="75"/>
        <item x="58"/>
        <item x="33"/>
        <item x="40"/>
        <item x="74"/>
        <item x="19"/>
        <item x="43"/>
        <item x="55"/>
        <item x="44"/>
        <item x="61"/>
        <item x="7"/>
        <item x="54"/>
        <item x="16"/>
        <item x="17"/>
        <item x="80"/>
        <item x="24"/>
        <item x="15"/>
        <item x="23"/>
        <item x="41"/>
        <item x="62"/>
        <item x="47"/>
        <item x="92"/>
        <item x="71"/>
        <item x="28"/>
        <item x="96"/>
        <item x="31"/>
        <item x="9"/>
        <item x="45"/>
        <item x="27"/>
        <item x="5"/>
        <item x="34"/>
        <item x="66"/>
        <item t="default"/>
      </items>
    </pivotField>
    <pivotField compact="0" showAll="0">
      <items count="50">
        <item x="41"/>
        <item x="16"/>
        <item x="22"/>
        <item x="5"/>
        <item x="25"/>
        <item x="17"/>
        <item x="35"/>
        <item x="30"/>
        <item x="7"/>
        <item x="28"/>
        <item x="40"/>
        <item x="12"/>
        <item x="47"/>
        <item x="27"/>
        <item x="29"/>
        <item x="26"/>
        <item x="42"/>
        <item x="46"/>
        <item x="39"/>
        <item x="33"/>
        <item x="21"/>
        <item x="9"/>
        <item x="34"/>
        <item x="11"/>
        <item x="18"/>
        <item x="23"/>
        <item x="45"/>
        <item x="20"/>
        <item x="43"/>
        <item x="15"/>
        <item x="32"/>
        <item x="38"/>
        <item x="19"/>
        <item x="48"/>
        <item x="6"/>
        <item x="37"/>
        <item x="31"/>
        <item x="3"/>
        <item x="44"/>
        <item x="1"/>
        <item x="14"/>
        <item x="0"/>
        <item x="36"/>
        <item x="4"/>
        <item x="24"/>
        <item x="13"/>
        <item x="2"/>
        <item x="10"/>
        <item x="8"/>
        <item t="default"/>
      </items>
    </pivotField>
    <pivotField compact="0" showAll="0">
      <items count="9">
        <item x="0"/>
        <item x="2"/>
        <item x="3"/>
        <item x="5"/>
        <item x="4"/>
        <item x="7"/>
        <item x="1"/>
        <item x="6"/>
        <item t="default"/>
      </items>
    </pivotField>
    <pivotField compact="0" showAll="0">
      <items count="9">
        <item x="2"/>
        <item x="5"/>
        <item x="3"/>
        <item x="7"/>
        <item x="4"/>
        <item x="0"/>
        <item x="6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61">
        <item x="46"/>
        <item x="16"/>
        <item x="20"/>
        <item x="56"/>
        <item x="3"/>
        <item x="45"/>
        <item x="7"/>
        <item x="39"/>
        <item x="22"/>
        <item x="13"/>
        <item x="25"/>
        <item x="19"/>
        <item x="11"/>
        <item x="2"/>
        <item x="23"/>
        <item x="58"/>
        <item x="12"/>
        <item x="55"/>
        <item x="35"/>
        <item x="17"/>
        <item x="31"/>
        <item x="48"/>
        <item x="57"/>
        <item x="1"/>
        <item x="24"/>
        <item x="42"/>
        <item x="15"/>
        <item x="37"/>
        <item x="29"/>
        <item x="9"/>
        <item x="26"/>
        <item x="43"/>
        <item x="36"/>
        <item x="41"/>
        <item x="54"/>
        <item x="32"/>
        <item x="28"/>
        <item x="33"/>
        <item x="59"/>
        <item x="5"/>
        <item x="49"/>
        <item x="0"/>
        <item x="27"/>
        <item x="38"/>
        <item x="30"/>
        <item x="40"/>
        <item x="51"/>
        <item x="44"/>
        <item x="52"/>
        <item x="18"/>
        <item x="21"/>
        <item x="10"/>
        <item x="47"/>
        <item x="50"/>
        <item x="4"/>
        <item x="34"/>
        <item x="6"/>
        <item x="8"/>
        <item x="14"/>
        <item x="53"/>
        <item t="default"/>
      </items>
    </pivotField>
    <pivotField compact="0" showAll="0">
      <items count="101">
        <item x="94"/>
        <item x="67"/>
        <item x="59"/>
        <item x="12"/>
        <item x="24"/>
        <item x="74"/>
        <item x="57"/>
        <item x="93"/>
        <item x="21"/>
        <item x="64"/>
        <item x="82"/>
        <item x="92"/>
        <item x="7"/>
        <item x="49"/>
        <item x="38"/>
        <item x="26"/>
        <item x="1"/>
        <item x="44"/>
        <item x="35"/>
        <item x="61"/>
        <item x="36"/>
        <item x="41"/>
        <item x="17"/>
        <item x="27"/>
        <item x="55"/>
        <item x="63"/>
        <item x="87"/>
        <item x="97"/>
        <item x="23"/>
        <item x="56"/>
        <item x="2"/>
        <item x="3"/>
        <item x="90"/>
        <item x="81"/>
        <item x="13"/>
        <item x="80"/>
        <item x="79"/>
        <item x="91"/>
        <item x="25"/>
        <item x="33"/>
        <item x="14"/>
        <item x="18"/>
        <item x="16"/>
        <item x="10"/>
        <item x="53"/>
        <item x="42"/>
        <item x="77"/>
        <item x="47"/>
        <item x="58"/>
        <item x="98"/>
        <item x="72"/>
        <item x="20"/>
        <item x="70"/>
        <item x="76"/>
        <item x="99"/>
        <item x="46"/>
        <item x="0"/>
        <item x="22"/>
        <item x="73"/>
        <item x="52"/>
        <item x="78"/>
        <item x="66"/>
        <item x="75"/>
        <item x="68"/>
        <item x="28"/>
        <item x="69"/>
        <item x="50"/>
        <item x="45"/>
        <item x="39"/>
        <item x="51"/>
        <item x="40"/>
        <item x="37"/>
        <item x="83"/>
        <item x="62"/>
        <item x="60"/>
        <item x="89"/>
        <item x="71"/>
        <item x="4"/>
        <item x="9"/>
        <item x="84"/>
        <item x="30"/>
        <item x="43"/>
        <item x="8"/>
        <item x="34"/>
        <item x="5"/>
        <item x="85"/>
        <item x="54"/>
        <item x="32"/>
        <item x="29"/>
        <item x="48"/>
        <item x="19"/>
        <item x="96"/>
        <item x="86"/>
        <item x="65"/>
        <item x="11"/>
        <item x="88"/>
        <item x="31"/>
        <item x="6"/>
        <item x="95"/>
        <item x="15"/>
        <item t="default"/>
      </items>
    </pivotField>
    <pivotField axis="axisRow" compact="0" showAll="0">
      <items count="3">
        <item h="1" x="1"/>
        <item x="0"/>
        <item t="default"/>
      </items>
    </pivotField>
    <pivotField compact="0" showAll="0">
      <items count="68">
        <item x="34"/>
        <item x="37"/>
        <item x="63"/>
        <item x="45"/>
        <item x="60"/>
        <item x="53"/>
        <item x="30"/>
        <item x="26"/>
        <item x="5"/>
        <item x="64"/>
        <item x="66"/>
        <item x="12"/>
        <item x="4"/>
        <item x="39"/>
        <item x="14"/>
        <item x="3"/>
        <item x="28"/>
        <item x="42"/>
        <item x="44"/>
        <item x="6"/>
        <item x="49"/>
        <item x="8"/>
        <item x="47"/>
        <item x="18"/>
        <item x="32"/>
        <item x="57"/>
        <item x="7"/>
        <item x="38"/>
        <item x="1"/>
        <item x="35"/>
        <item x="62"/>
        <item x="59"/>
        <item x="29"/>
        <item x="52"/>
        <item x="25"/>
        <item x="58"/>
        <item x="55"/>
        <item x="17"/>
        <item x="2"/>
        <item x="24"/>
        <item x="21"/>
        <item x="51"/>
        <item x="56"/>
        <item x="9"/>
        <item x="54"/>
        <item x="20"/>
        <item x="0"/>
        <item x="40"/>
        <item x="27"/>
        <item x="31"/>
        <item x="23"/>
        <item x="46"/>
        <item x="33"/>
        <item x="15"/>
        <item x="41"/>
        <item x="13"/>
        <item x="16"/>
        <item x="65"/>
        <item x="43"/>
        <item x="48"/>
        <item x="22"/>
        <item x="19"/>
        <item x="10"/>
        <item x="50"/>
        <item x="61"/>
        <item x="11"/>
        <item x="36"/>
        <item t="default"/>
      </items>
    </pivotField>
    <pivotField compact="0" showAll="0">
      <items count="67">
        <item x="46"/>
        <item x="51"/>
        <item x="31"/>
        <item x="19"/>
        <item x="27"/>
        <item x="5"/>
        <item x="54"/>
        <item x="11"/>
        <item x="21"/>
        <item x="36"/>
        <item x="8"/>
        <item x="33"/>
        <item x="61"/>
        <item x="14"/>
        <item x="59"/>
        <item x="48"/>
        <item x="35"/>
        <item x="42"/>
        <item x="32"/>
        <item x="45"/>
        <item x="26"/>
        <item x="64"/>
        <item x="63"/>
        <item x="44"/>
        <item x="10"/>
        <item x="40"/>
        <item x="28"/>
        <item x="30"/>
        <item x="13"/>
        <item x="41"/>
        <item x="22"/>
        <item x="56"/>
        <item x="58"/>
        <item x="38"/>
        <item x="34"/>
        <item x="53"/>
        <item x="25"/>
        <item x="49"/>
        <item x="52"/>
        <item x="62"/>
        <item x="18"/>
        <item x="50"/>
        <item x="65"/>
        <item x="60"/>
        <item x="37"/>
        <item x="6"/>
        <item x="24"/>
        <item x="57"/>
        <item x="23"/>
        <item x="39"/>
        <item x="3"/>
        <item x="0"/>
        <item x="55"/>
        <item x="29"/>
        <item x="1"/>
        <item x="4"/>
        <item x="16"/>
        <item x="2"/>
        <item x="15"/>
        <item x="7"/>
        <item x="47"/>
        <item x="20"/>
        <item x="43"/>
        <item x="12"/>
        <item x="9"/>
        <item x="17"/>
        <item t="default"/>
      </items>
    </pivotField>
    <pivotField compact="0" numFmtId="9" showAll="0">
      <items count="8">
        <item x="1"/>
        <item x="3"/>
        <item x="2"/>
        <item x="4"/>
        <item x="5"/>
        <item x="0"/>
        <item x="6"/>
        <item t="default"/>
      </items>
    </pivotField>
    <pivotField compact="0" showAll="0">
      <items count="101">
        <item x="22"/>
        <item x="93"/>
        <item x="12"/>
        <item x="91"/>
        <item x="87"/>
        <item x="41"/>
        <item x="80"/>
        <item x="64"/>
        <item x="75"/>
        <item x="42"/>
        <item x="26"/>
        <item x="73"/>
        <item x="59"/>
        <item x="24"/>
        <item x="78"/>
        <item x="94"/>
        <item x="1"/>
        <item x="53"/>
        <item x="38"/>
        <item x="92"/>
        <item x="8"/>
        <item x="43"/>
        <item x="0"/>
        <item x="4"/>
        <item x="72"/>
        <item x="67"/>
        <item x="33"/>
        <item x="10"/>
        <item x="99"/>
        <item x="71"/>
        <item x="60"/>
        <item x="35"/>
        <item x="63"/>
        <item x="50"/>
        <item x="84"/>
        <item x="97"/>
        <item x="44"/>
        <item x="47"/>
        <item x="16"/>
        <item x="82"/>
        <item x="83"/>
        <item x="69"/>
        <item x="74"/>
        <item x="61"/>
        <item x="76"/>
        <item x="66"/>
        <item x="57"/>
        <item x="89"/>
        <item x="62"/>
        <item x="18"/>
        <item x="49"/>
        <item x="13"/>
        <item x="21"/>
        <item x="37"/>
        <item x="46"/>
        <item x="7"/>
        <item x="32"/>
        <item x="34"/>
        <item x="36"/>
        <item x="27"/>
        <item x="25"/>
        <item x="9"/>
        <item x="2"/>
        <item x="23"/>
        <item x="68"/>
        <item x="54"/>
        <item x="40"/>
        <item x="88"/>
        <item x="39"/>
        <item x="90"/>
        <item x="96"/>
        <item x="19"/>
        <item x="28"/>
        <item x="45"/>
        <item x="65"/>
        <item x="11"/>
        <item x="98"/>
        <item x="81"/>
        <item x="52"/>
        <item x="51"/>
        <item x="79"/>
        <item x="5"/>
        <item x="31"/>
        <item x="30"/>
        <item x="14"/>
        <item x="6"/>
        <item x="55"/>
        <item x="48"/>
        <item x="29"/>
        <item x="58"/>
        <item x="15"/>
        <item x="17"/>
        <item x="3"/>
        <item x="77"/>
        <item x="20"/>
        <item x="95"/>
        <item x="56"/>
        <item x="86"/>
        <item x="85"/>
        <item x="70"/>
        <item t="default"/>
      </items>
    </pivotField>
    <pivotField compact="0" showAll="0">
      <items count="8">
        <item x="4"/>
        <item x="5"/>
        <item x="6"/>
        <item x="1"/>
        <item x="0"/>
        <item x="3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12"/>
  </rowFields>
  <rowItems count="2">
    <i>
      <x v="1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0:B66" firstHeaderRow="1" firstDataRow="1" firstDataCol="1"/>
  <pivotFields count="2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axis="axisRow" dataField="1" compact="0" showAll="0">
      <items count="6">
        <item x="4"/>
        <item x="1"/>
        <item x="0"/>
        <item x="2"/>
        <item x="3"/>
        <item t="default"/>
      </items>
    </pivotField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" sourceName="Performance">
  <pivotTables>
    <pivotTable tabId="2" name="PivotTable2"/>
    <pivotTable tabId="1" name="PivotTable1"/>
    <pivotTable tabId="2" name="PivotTable3"/>
    <pivotTable tabId="2" name="PivotTable4"/>
    <pivotTable tabId="2" name="PivotTable5"/>
    <pivotTable tabId="2" name="PivotTable6"/>
    <pivotTable tabId="2" name="PivotTable7"/>
  </pivotTables>
  <data>
    <tabular pivotCacheId="1">
      <items count="2">
        <i x="1" s="1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2"/>
    <pivotTable tabId="1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5">
        <i x="4" s="1"/>
        <i x="1" s="1"/>
        <i x="0" s="1"/>
        <i x="2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Other1" rowHeight="225425"/>
  <slicer name="Performance" cache="Slicer_Performance" caption="Performance" rowHeight="225425"/>
</slicers>
</file>

<file path=xl/tables/table1.xml><?xml version="1.0" encoding="utf-8"?>
<table xmlns="http://schemas.openxmlformats.org/spreadsheetml/2006/main" id="1" name="Employee_data" displayName="Employee_data" ref="A1:U101" totalsRowShown="0">
  <autoFilter xmlns:etc="http://www.wps.cn/officeDocument/2017/etCustomData" ref="A1:U101" etc:filterBottomFollowUsedRange="0"/>
  <sortState ref="A1:U101">
    <sortCondition ref="A2"/>
  </sortState>
  <tableColumns count="21">
    <tableColumn id="1" name="Employee ID" dataDxfId="3"/>
    <tableColumn id="2" name="Employee Name" dataDxfId="4"/>
    <tableColumn id="3" name="Department" dataDxfId="5"/>
    <tableColumn id="4" name="Designation" dataDxfId="6"/>
    <tableColumn id="5" name="Joining Date" dataDxfId="7"/>
    <tableColumn id="6" name="Basic Salary" dataDxfId="8"/>
    <tableColumn id="7" name="Allowance" dataDxfId="9"/>
    <tableColumn id="8" name="Bonus" dataDxfId="10"/>
    <tableColumn id="9" name="Working Days" dataDxfId="11"/>
    <tableColumn id="10" name="Present Days" dataDxfId="12"/>
    <tableColumn id="11" name="Sales Target" dataDxfId="13"/>
    <tableColumn id="12" name="Actual Sales" dataDxfId="14"/>
    <tableColumn id="13" name="Performance" dataDxfId="15"/>
    <tableColumn id="14" name="Email" dataDxfId="16"/>
    <tableColumn id="15" name="Gross Salary" dataDxfId="17">
      <calculatedColumnFormula>SUM(F2:H2)</calculatedColumnFormula>
    </tableColumn>
    <tableColumn id="16" name="Attendance %" dataDxfId="18">
      <calculatedColumnFormula>J2/I2</calculatedColumnFormula>
    </tableColumn>
    <tableColumn id="17" name="Sales Difference" dataDxfId="19">
      <calculatedColumnFormula>L2-K2</calculatedColumnFormula>
    </tableColumn>
    <tableColumn id="18" name="Experience (Years)" dataDxfId="20">
      <calculatedColumnFormula>DATEDIF(E2,TODAY(),"Y")</calculatedColumnFormula>
    </tableColumn>
    <tableColumn id="19" name="Bonus Eligibility" dataDxfId="21">
      <calculatedColumnFormula>IF(AND(L2&gt;K2,F2&gt;60000),"Eligible","Not Eligible")</calculatedColumnFormula>
    </tableColumn>
    <tableColumn id="20" name="Promotion" dataDxfId="22">
      <calculatedColumnFormula>IF(AND(R2&gt;=5,M2="Achieved"),"Eligible","Not Eligible")</calculatedColumnFormula>
    </tableColumn>
    <tableColumn id="21" name="Employee Rating" dataDxfId="23">
      <calculatedColumnFormula>IF(AND(M2="Achieved",P2&gt;=95%),"Excellent",IF(M2="Achieved","Good","Need Improvement"))</calculatedColumnFormula>
    </tableColumn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yeem.hoain@company.com" TargetMode="Externa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9.xml"/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1"/>
  <sheetViews>
    <sheetView zoomScale="85" zoomScaleNormal="85" zoomScaleSheetLayoutView="60" topLeftCell="O1" workbookViewId="0">
      <pane ySplit="1" topLeftCell="A15" activePane="bottomLeft" state="frozen"/>
      <selection/>
      <selection pane="bottomLeft" activeCell="V31" sqref="V31"/>
    </sheetView>
  </sheetViews>
  <sheetFormatPr defaultColWidth="10" defaultRowHeight="14.4"/>
  <cols>
    <col min="1" max="1" width="13.5555555555556" customWidth="1"/>
    <col min="2" max="2" width="18.6666666666667" customWidth="1"/>
    <col min="3" max="3" width="15" customWidth="1"/>
    <col min="4" max="4" width="17.2222222222222" customWidth="1"/>
    <col min="5" max="5" width="16.2222222222222" customWidth="1"/>
    <col min="6" max="6" width="12.8888888888889" customWidth="1"/>
    <col min="7" max="7" width="11.5555555555556" customWidth="1"/>
    <col min="9" max="9" width="13.4444444444444" customWidth="1"/>
    <col min="10" max="10" width="12.6666666666667" customWidth="1"/>
    <col min="11" max="11" width="12.7777777777778" customWidth="1"/>
    <col min="12" max="12" width="13.7777777777778" customWidth="1"/>
    <col min="13" max="13" width="13" customWidth="1"/>
    <col min="14" max="14" width="27" customWidth="1"/>
    <col min="15" max="15" width="14.3796296296296" customWidth="1"/>
    <col min="16" max="16" width="13.2037037037037" customWidth="1"/>
    <col min="17" max="17" width="16.7314814814815" customWidth="1"/>
    <col min="18" max="18" width="19.0833333333333" customWidth="1"/>
    <col min="19" max="19" width="19.6018518518519" customWidth="1"/>
    <col min="20" max="20" width="26.6666666666667" customWidth="1"/>
    <col min="21" max="21" width="21.5648148148148" customWidth="1"/>
    <col min="22" max="22" width="26.6666666666667" customWidth="1"/>
    <col min="23" max="23" width="14"/>
    <col min="24" max="27" width="21.7777777777778"/>
  </cols>
  <sheetData>
    <row r="1" spans="1:24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4">
      <c r="A2" s="28" t="s">
        <v>21</v>
      </c>
      <c r="B2" s="28" t="s">
        <v>22</v>
      </c>
      <c r="C2" s="28" t="s">
        <v>23</v>
      </c>
      <c r="D2" s="28" t="s">
        <v>24</v>
      </c>
      <c r="E2" s="29">
        <v>44532</v>
      </c>
      <c r="F2" s="28">
        <v>72000</v>
      </c>
      <c r="G2" s="28">
        <v>1500</v>
      </c>
      <c r="H2" s="28">
        <v>3000</v>
      </c>
      <c r="I2" s="28">
        <v>26</v>
      </c>
      <c r="J2" s="28">
        <v>25</v>
      </c>
      <c r="K2" s="28">
        <v>127000</v>
      </c>
      <c r="L2" s="28">
        <v>118932</v>
      </c>
      <c r="M2" s="28" t="s">
        <v>25</v>
      </c>
      <c r="N2" s="28" t="s">
        <v>26</v>
      </c>
      <c r="O2" s="30">
        <f t="shared" ref="O2:O33" si="0">SUM(F2:H2)</f>
        <v>76500</v>
      </c>
      <c r="P2" s="31">
        <f>J2/I2</f>
        <v>0.961538461538462</v>
      </c>
      <c r="Q2" s="32">
        <f t="shared" ref="Q2:Q33" si="1">L2-K2</f>
        <v>-8068</v>
      </c>
      <c r="R2" s="32">
        <f ca="1">DATEDIF(E2,TODAY(),"Y")</f>
        <v>4</v>
      </c>
      <c r="S2" s="32" t="str">
        <f>IF(AND(L2&gt;K2,F2&gt;60000),"Eligible","Not Eligible")</f>
        <v>Not Eligible</v>
      </c>
      <c r="T2" s="32" t="str">
        <f ca="1" t="shared" ref="T2:T33" si="2">IF(AND(R2&gt;=5,M2="Achieved"),"Eligible","Not Eligible")</f>
        <v>Not Eligible</v>
      </c>
      <c r="U2" s="32" t="str">
        <f t="shared" ref="U2:U33" si="3">IF(AND(M2="Achieved",P2&gt;=95%),"Excellent",IF(M2="Achieved","Good","Need Improvement"))</f>
        <v>Need Improvement</v>
      </c>
    </row>
    <row r="3" spans="1:24">
      <c r="A3" s="28" t="s">
        <v>27</v>
      </c>
      <c r="B3" s="28" t="s">
        <v>28</v>
      </c>
      <c r="C3" s="28" t="s">
        <v>29</v>
      </c>
      <c r="D3" s="28" t="s">
        <v>30</v>
      </c>
      <c r="E3" s="29">
        <v>44555</v>
      </c>
      <c r="F3" s="28">
        <v>70000</v>
      </c>
      <c r="G3" s="28">
        <v>4500</v>
      </c>
      <c r="H3" s="28">
        <v>4000</v>
      </c>
      <c r="I3" s="28">
        <v>26</v>
      </c>
      <c r="J3" s="28">
        <v>20</v>
      </c>
      <c r="K3" s="28">
        <v>101000</v>
      </c>
      <c r="L3" s="28">
        <v>90887</v>
      </c>
      <c r="M3" s="28" t="s">
        <v>25</v>
      </c>
      <c r="N3" s="28" t="s">
        <v>31</v>
      </c>
      <c r="O3" s="30">
        <f t="shared" si="0"/>
        <v>78500</v>
      </c>
      <c r="P3" s="31">
        <f>J3/I3</f>
        <v>0.769230769230769</v>
      </c>
      <c r="Q3" s="32">
        <f t="shared" si="1"/>
        <v>-10113</v>
      </c>
      <c r="R3" s="32">
        <f ca="1" t="shared" ref="R2:R33" si="4">DATEDIF(E3,TODAY(),"Y")</f>
        <v>4</v>
      </c>
      <c r="S3" s="33" t="str">
        <f t="shared" ref="S2:S33" si="5">IF(AND(L3&gt;K3,F3&gt;60000),"Eligible","Not Eligible")</f>
        <v>Not Eligible</v>
      </c>
      <c r="T3" s="33" t="str">
        <f ca="1" t="shared" si="2"/>
        <v>Not Eligible</v>
      </c>
      <c r="U3" s="33" t="str">
        <f t="shared" si="3"/>
        <v>Need Improvement</v>
      </c>
      <c r="V3" s="34"/>
      <c r="W3" s="34"/>
      <c r="X3" s="34"/>
    </row>
    <row r="4" spans="1:24">
      <c r="A4" s="28" t="s">
        <v>32</v>
      </c>
      <c r="B4" s="28" t="s">
        <v>33</v>
      </c>
      <c r="C4" s="28" t="s">
        <v>23</v>
      </c>
      <c r="D4" s="28" t="s">
        <v>24</v>
      </c>
      <c r="E4" s="29">
        <v>45129</v>
      </c>
      <c r="F4" s="28">
        <v>78000</v>
      </c>
      <c r="G4" s="28">
        <v>2000</v>
      </c>
      <c r="H4" s="28">
        <v>500</v>
      </c>
      <c r="I4" s="28">
        <v>26</v>
      </c>
      <c r="J4" s="28">
        <v>22</v>
      </c>
      <c r="K4" s="28">
        <v>88000</v>
      </c>
      <c r="L4" s="28">
        <v>96578</v>
      </c>
      <c r="M4" s="28" t="s">
        <v>34</v>
      </c>
      <c r="N4" s="28" t="s">
        <v>35</v>
      </c>
      <c r="O4" s="30">
        <f t="shared" si="0"/>
        <v>80500</v>
      </c>
      <c r="P4" s="31">
        <f t="shared" ref="P4:P9" si="6">J4/I4</f>
        <v>0.846153846153846</v>
      </c>
      <c r="Q4" s="32">
        <f t="shared" si="1"/>
        <v>8578</v>
      </c>
      <c r="R4" s="32">
        <f ca="1" t="shared" si="4"/>
        <v>3</v>
      </c>
      <c r="S4" s="35" t="str">
        <f t="shared" si="5"/>
        <v>Eligible</v>
      </c>
      <c r="T4" s="35" t="str">
        <f ca="1" t="shared" si="2"/>
        <v>Not Eligible</v>
      </c>
      <c r="U4" s="35" t="str">
        <f t="shared" si="3"/>
        <v>Good</v>
      </c>
      <c r="V4" s="36"/>
      <c r="W4" s="37" t="s">
        <v>36</v>
      </c>
      <c r="X4" s="38"/>
    </row>
    <row r="5" ht="16" customHeight="1" spans="1:24">
      <c r="A5" s="28" t="s">
        <v>37</v>
      </c>
      <c r="B5" s="28" t="s">
        <v>38</v>
      </c>
      <c r="C5" s="28" t="s">
        <v>39</v>
      </c>
      <c r="D5" s="28" t="s">
        <v>40</v>
      </c>
      <c r="E5" s="29">
        <v>43859</v>
      </c>
      <c r="F5" s="28">
        <v>68000</v>
      </c>
      <c r="G5" s="28">
        <v>2500</v>
      </c>
      <c r="H5" s="28">
        <v>4000</v>
      </c>
      <c r="I5" s="28">
        <v>26</v>
      </c>
      <c r="J5" s="28">
        <v>21</v>
      </c>
      <c r="K5" s="28">
        <v>75000</v>
      </c>
      <c r="L5" s="28">
        <v>96822</v>
      </c>
      <c r="M5" s="28" t="s">
        <v>34</v>
      </c>
      <c r="N5" s="28" t="s">
        <v>41</v>
      </c>
      <c r="O5" s="30">
        <f t="shared" si="0"/>
        <v>74500</v>
      </c>
      <c r="P5" s="31">
        <f t="shared" si="6"/>
        <v>0.807692307692308</v>
      </c>
      <c r="Q5" s="32">
        <f t="shared" si="1"/>
        <v>21822</v>
      </c>
      <c r="R5" s="32">
        <f ca="1" t="shared" si="4"/>
        <v>6</v>
      </c>
      <c r="S5" s="32" t="str">
        <f t="shared" si="5"/>
        <v>Eligible</v>
      </c>
      <c r="T5" s="32" t="str">
        <f ca="1" t="shared" si="2"/>
        <v>Eligible</v>
      </c>
      <c r="U5" s="32" t="str">
        <f t="shared" si="3"/>
        <v>Good</v>
      </c>
      <c r="W5" s="39" t="s">
        <v>42</v>
      </c>
      <c r="X5" s="38">
        <f>COUNTA(A2:A101)</f>
        <v>100</v>
      </c>
    </row>
    <row r="6" ht="28.8" spans="1:24">
      <c r="A6" s="28" t="s">
        <v>43</v>
      </c>
      <c r="B6" s="28" t="s">
        <v>44</v>
      </c>
      <c r="C6" s="28" t="s">
        <v>29</v>
      </c>
      <c r="D6" s="28" t="s">
        <v>30</v>
      </c>
      <c r="E6" s="29">
        <v>44206</v>
      </c>
      <c r="F6" s="28">
        <v>74000</v>
      </c>
      <c r="G6" s="28">
        <v>3500</v>
      </c>
      <c r="H6" s="28">
        <v>1500</v>
      </c>
      <c r="I6" s="28">
        <v>26</v>
      </c>
      <c r="J6" s="28">
        <v>21</v>
      </c>
      <c r="K6" s="28">
        <v>143000</v>
      </c>
      <c r="L6" s="28">
        <v>135243</v>
      </c>
      <c r="M6" s="28" t="s">
        <v>25</v>
      </c>
      <c r="N6" s="28" t="s">
        <v>45</v>
      </c>
      <c r="O6" s="30">
        <f t="shared" si="0"/>
        <v>79000</v>
      </c>
      <c r="P6" s="31">
        <f t="shared" si="6"/>
        <v>0.807692307692308</v>
      </c>
      <c r="Q6" s="32">
        <f t="shared" si="1"/>
        <v>-7757</v>
      </c>
      <c r="R6" s="32">
        <f ca="1" t="shared" si="4"/>
        <v>5</v>
      </c>
      <c r="S6" s="40" t="str">
        <f t="shared" si="5"/>
        <v>Not Eligible</v>
      </c>
      <c r="T6" s="40" t="str">
        <f ca="1" t="shared" si="2"/>
        <v>Not Eligible</v>
      </c>
      <c r="U6" s="40" t="str">
        <f t="shared" si="3"/>
        <v>Need Improvement</v>
      </c>
      <c r="V6" s="41"/>
      <c r="W6" s="38" t="s">
        <v>46</v>
      </c>
      <c r="X6" s="38">
        <f>SUM(F2:F101)</f>
        <v>5572000</v>
      </c>
    </row>
    <row r="7" spans="1:24">
      <c r="A7" s="28" t="s">
        <v>47</v>
      </c>
      <c r="B7" s="28" t="s">
        <v>48</v>
      </c>
      <c r="C7" s="28" t="s">
        <v>39</v>
      </c>
      <c r="D7" s="28" t="s">
        <v>40</v>
      </c>
      <c r="E7" s="29">
        <v>45992</v>
      </c>
      <c r="F7" s="28">
        <v>33000</v>
      </c>
      <c r="G7" s="28">
        <v>2000</v>
      </c>
      <c r="H7" s="28">
        <v>4000</v>
      </c>
      <c r="I7" s="28">
        <v>26</v>
      </c>
      <c r="J7" s="28">
        <v>23</v>
      </c>
      <c r="K7" s="28">
        <v>125000</v>
      </c>
      <c r="L7" s="28">
        <v>141273</v>
      </c>
      <c r="M7" s="28" t="s">
        <v>34</v>
      </c>
      <c r="N7" s="28" t="s">
        <v>49</v>
      </c>
      <c r="O7" s="30">
        <f t="shared" si="0"/>
        <v>39000</v>
      </c>
      <c r="P7" s="31">
        <f t="shared" si="6"/>
        <v>0.884615384615385</v>
      </c>
      <c r="Q7" s="32">
        <f t="shared" si="1"/>
        <v>16273</v>
      </c>
      <c r="R7" s="32">
        <f ca="1" t="shared" si="4"/>
        <v>0</v>
      </c>
      <c r="S7" s="32" t="str">
        <f t="shared" si="5"/>
        <v>Not Eligible</v>
      </c>
      <c r="T7" s="32" t="str">
        <f ca="1" t="shared" si="2"/>
        <v>Not Eligible</v>
      </c>
      <c r="U7" s="32" t="str">
        <f t="shared" si="3"/>
        <v>Good</v>
      </c>
      <c r="W7" s="39" t="s">
        <v>50</v>
      </c>
      <c r="X7" s="38">
        <f>AVERAGE(F2:F101)</f>
        <v>55720</v>
      </c>
    </row>
    <row r="8" spans="1:24">
      <c r="A8" s="28" t="s">
        <v>51</v>
      </c>
      <c r="B8" s="28" t="s">
        <v>52</v>
      </c>
      <c r="C8" s="28" t="s">
        <v>53</v>
      </c>
      <c r="D8" s="28" t="s">
        <v>40</v>
      </c>
      <c r="E8" s="29">
        <v>44759</v>
      </c>
      <c r="F8" s="28">
        <v>65000</v>
      </c>
      <c r="G8" s="28">
        <v>1500</v>
      </c>
      <c r="H8" s="28">
        <v>2500</v>
      </c>
      <c r="I8" s="28">
        <v>26</v>
      </c>
      <c r="J8" s="28">
        <v>25</v>
      </c>
      <c r="K8" s="28">
        <v>146000</v>
      </c>
      <c r="L8" s="28">
        <v>162931</v>
      </c>
      <c r="M8" s="28" t="s">
        <v>34</v>
      </c>
      <c r="N8" s="28" t="s">
        <v>54</v>
      </c>
      <c r="O8" s="30">
        <f t="shared" si="0"/>
        <v>69000</v>
      </c>
      <c r="P8" s="31">
        <f t="shared" si="6"/>
        <v>0.961538461538462</v>
      </c>
      <c r="Q8" s="32">
        <f t="shared" si="1"/>
        <v>16931</v>
      </c>
      <c r="R8" s="32">
        <f ca="1" t="shared" si="4"/>
        <v>4</v>
      </c>
      <c r="S8" s="32" t="str">
        <f t="shared" si="5"/>
        <v>Eligible</v>
      </c>
      <c r="T8" s="32" t="str">
        <f ca="1" t="shared" si="2"/>
        <v>Not Eligible</v>
      </c>
      <c r="U8" s="32" t="str">
        <f t="shared" si="3"/>
        <v>Excellent</v>
      </c>
      <c r="W8" s="39" t="s">
        <v>55</v>
      </c>
      <c r="X8" s="38">
        <f>MAX(F2:F101)</f>
        <v>80000</v>
      </c>
    </row>
    <row r="9" spans="1:24">
      <c r="A9" s="28" t="s">
        <v>56</v>
      </c>
      <c r="B9" s="28" t="s">
        <v>57</v>
      </c>
      <c r="C9" s="28" t="s">
        <v>29</v>
      </c>
      <c r="D9" s="28" t="s">
        <v>30</v>
      </c>
      <c r="E9" s="29">
        <v>45519</v>
      </c>
      <c r="F9" s="28">
        <v>78000</v>
      </c>
      <c r="G9" s="28">
        <v>2500</v>
      </c>
      <c r="H9" s="28">
        <v>1000</v>
      </c>
      <c r="I9" s="28">
        <v>26</v>
      </c>
      <c r="J9" s="28">
        <v>21</v>
      </c>
      <c r="K9" s="28">
        <v>78000</v>
      </c>
      <c r="L9" s="28">
        <v>85412</v>
      </c>
      <c r="M9" s="28" t="s">
        <v>34</v>
      </c>
      <c r="N9" s="28" t="s">
        <v>58</v>
      </c>
      <c r="O9" s="30">
        <f t="shared" si="0"/>
        <v>81500</v>
      </c>
      <c r="P9" s="31">
        <f t="shared" si="6"/>
        <v>0.807692307692308</v>
      </c>
      <c r="Q9" s="32">
        <f t="shared" si="1"/>
        <v>7412</v>
      </c>
      <c r="R9" s="32">
        <f ca="1" t="shared" si="4"/>
        <v>1</v>
      </c>
      <c r="S9" s="40" t="str">
        <f t="shared" si="5"/>
        <v>Eligible</v>
      </c>
      <c r="T9" s="40" t="str">
        <f ca="1" t="shared" si="2"/>
        <v>Not Eligible</v>
      </c>
      <c r="U9" s="40" t="str">
        <f t="shared" si="3"/>
        <v>Good</v>
      </c>
      <c r="V9" s="41"/>
      <c r="W9" s="38" t="s">
        <v>59</v>
      </c>
      <c r="X9" s="38">
        <f>MIN(F2:F101)</f>
        <v>30000</v>
      </c>
    </row>
    <row r="10" spans="1:24">
      <c r="A10" s="28" t="s">
        <v>60</v>
      </c>
      <c r="B10" s="28" t="s">
        <v>61</v>
      </c>
      <c r="C10" s="28" t="s">
        <v>29</v>
      </c>
      <c r="D10" s="28" t="s">
        <v>30</v>
      </c>
      <c r="E10" s="29">
        <v>45348</v>
      </c>
      <c r="F10" s="28">
        <v>38000</v>
      </c>
      <c r="G10" s="28">
        <v>3000</v>
      </c>
      <c r="H10" s="28">
        <v>3000</v>
      </c>
      <c r="I10" s="28">
        <v>26</v>
      </c>
      <c r="J10" s="28">
        <v>22</v>
      </c>
      <c r="K10" s="28">
        <v>148000</v>
      </c>
      <c r="L10" s="28">
        <v>138460</v>
      </c>
      <c r="M10" s="28" t="s">
        <v>25</v>
      </c>
      <c r="N10" s="28" t="s">
        <v>62</v>
      </c>
      <c r="O10" s="30">
        <f t="shared" si="0"/>
        <v>44000</v>
      </c>
      <c r="P10" s="31">
        <f t="shared" ref="P10:P41" si="7">J10/I10</f>
        <v>0.846153846153846</v>
      </c>
      <c r="Q10" s="32">
        <f t="shared" si="1"/>
        <v>-9540</v>
      </c>
      <c r="R10" s="32">
        <f ca="1" t="shared" si="4"/>
        <v>2</v>
      </c>
      <c r="S10" s="32" t="str">
        <f t="shared" si="5"/>
        <v>Not Eligible</v>
      </c>
      <c r="T10" s="32" t="str">
        <f ca="1" t="shared" si="2"/>
        <v>Not Eligible</v>
      </c>
      <c r="U10" s="32" t="str">
        <f t="shared" si="3"/>
        <v>Need Improvement</v>
      </c>
    </row>
    <row r="11" spans="1:24">
      <c r="A11" s="28" t="s">
        <v>63</v>
      </c>
      <c r="B11" s="28" t="s">
        <v>57</v>
      </c>
      <c r="C11" s="28" t="s">
        <v>29</v>
      </c>
      <c r="D11" s="28" t="s">
        <v>30</v>
      </c>
      <c r="E11" s="29">
        <v>45927</v>
      </c>
      <c r="F11" s="28">
        <v>80000</v>
      </c>
      <c r="G11" s="28">
        <v>3000</v>
      </c>
      <c r="H11" s="28">
        <v>4000</v>
      </c>
      <c r="I11" s="28">
        <v>26</v>
      </c>
      <c r="J11" s="28">
        <v>24</v>
      </c>
      <c r="K11" s="28">
        <v>127000</v>
      </c>
      <c r="L11" s="28">
        <v>135562</v>
      </c>
      <c r="M11" s="28" t="s">
        <v>34</v>
      </c>
      <c r="N11" s="28" t="s">
        <v>58</v>
      </c>
      <c r="O11" s="30">
        <f t="shared" si="0"/>
        <v>87000</v>
      </c>
      <c r="P11" s="31">
        <f t="shared" si="7"/>
        <v>0.923076923076923</v>
      </c>
      <c r="Q11" s="32">
        <f t="shared" si="1"/>
        <v>8562</v>
      </c>
      <c r="R11" s="32">
        <f ca="1" t="shared" si="4"/>
        <v>0</v>
      </c>
      <c r="S11" s="32" t="str">
        <f t="shared" si="5"/>
        <v>Eligible</v>
      </c>
      <c r="T11" s="32" t="str">
        <f ca="1" t="shared" si="2"/>
        <v>Not Eligible</v>
      </c>
      <c r="U11" s="32" t="str">
        <f t="shared" si="3"/>
        <v>Good</v>
      </c>
    </row>
    <row r="12" spans="1:24">
      <c r="A12" s="28" t="s">
        <v>64</v>
      </c>
      <c r="B12" s="28" t="s">
        <v>65</v>
      </c>
      <c r="C12" s="28" t="s">
        <v>66</v>
      </c>
      <c r="D12" s="28" t="s">
        <v>67</v>
      </c>
      <c r="E12" s="29">
        <v>44031</v>
      </c>
      <c r="F12" s="28">
        <v>51000</v>
      </c>
      <c r="G12" s="28">
        <v>3000</v>
      </c>
      <c r="H12" s="28">
        <v>1500</v>
      </c>
      <c r="I12" s="28">
        <v>26</v>
      </c>
      <c r="J12" s="28">
        <v>25</v>
      </c>
      <c r="K12" s="28">
        <v>110000</v>
      </c>
      <c r="L12" s="28">
        <v>102905</v>
      </c>
      <c r="M12" s="28" t="s">
        <v>25</v>
      </c>
      <c r="N12" s="28" t="s">
        <v>68</v>
      </c>
      <c r="O12" s="30">
        <f t="shared" si="0"/>
        <v>55500</v>
      </c>
      <c r="P12" s="31">
        <f t="shared" si="7"/>
        <v>0.961538461538462</v>
      </c>
      <c r="Q12" s="32">
        <f t="shared" si="1"/>
        <v>-7095</v>
      </c>
      <c r="R12" s="32">
        <f ca="1" t="shared" si="4"/>
        <v>6</v>
      </c>
      <c r="S12" s="32" t="str">
        <f t="shared" si="5"/>
        <v>Not Eligible</v>
      </c>
      <c r="T12" s="32" t="str">
        <f ca="1" t="shared" si="2"/>
        <v>Not Eligible</v>
      </c>
      <c r="U12" s="32" t="str">
        <f t="shared" si="3"/>
        <v>Need Improvement</v>
      </c>
      <c r="V12" s="42"/>
      <c r="W12" s="43" t="s">
        <v>69</v>
      </c>
      <c r="X12" s="39"/>
    </row>
    <row r="13" spans="1:24">
      <c r="A13" s="28" t="s">
        <v>70</v>
      </c>
      <c r="B13" s="28" t="s">
        <v>71</v>
      </c>
      <c r="C13" s="28" t="s">
        <v>53</v>
      </c>
      <c r="D13" s="28" t="s">
        <v>40</v>
      </c>
      <c r="E13" s="29">
        <v>44564</v>
      </c>
      <c r="F13" s="28">
        <v>38000</v>
      </c>
      <c r="G13" s="28">
        <v>2000</v>
      </c>
      <c r="H13" s="28">
        <v>1000</v>
      </c>
      <c r="I13" s="28">
        <v>26</v>
      </c>
      <c r="J13" s="28">
        <v>21</v>
      </c>
      <c r="K13" s="28">
        <v>140000</v>
      </c>
      <c r="L13" s="28">
        <v>154227</v>
      </c>
      <c r="M13" s="28" t="s">
        <v>34</v>
      </c>
      <c r="N13" s="28" t="s">
        <v>72</v>
      </c>
      <c r="O13" s="30">
        <f t="shared" si="0"/>
        <v>41000</v>
      </c>
      <c r="P13" s="31">
        <f t="shared" si="7"/>
        <v>0.807692307692308</v>
      </c>
      <c r="Q13" s="32">
        <f t="shared" si="1"/>
        <v>14227</v>
      </c>
      <c r="R13" s="32">
        <f ca="1" t="shared" si="4"/>
        <v>4</v>
      </c>
      <c r="S13" s="40" t="str">
        <f t="shared" si="5"/>
        <v>Not Eligible</v>
      </c>
      <c r="T13" s="40" t="str">
        <f ca="1" t="shared" si="2"/>
        <v>Not Eligible</v>
      </c>
      <c r="U13" s="40" t="str">
        <f t="shared" si="3"/>
        <v>Good</v>
      </c>
      <c r="V13" s="41"/>
      <c r="W13" s="38" t="s">
        <v>29</v>
      </c>
      <c r="X13" s="39">
        <f>COUNTIF(C2:C101,W13)</f>
        <v>17</v>
      </c>
    </row>
    <row r="14" spans="1:24">
      <c r="A14" s="28" t="s">
        <v>73</v>
      </c>
      <c r="B14" s="28" t="s">
        <v>74</v>
      </c>
      <c r="C14" s="28" t="s">
        <v>29</v>
      </c>
      <c r="D14" s="28" t="s">
        <v>30</v>
      </c>
      <c r="E14" s="29">
        <v>45257</v>
      </c>
      <c r="F14" s="28">
        <v>79000</v>
      </c>
      <c r="G14" s="28">
        <v>3000</v>
      </c>
      <c r="H14" s="28">
        <v>3500</v>
      </c>
      <c r="I14" s="28">
        <v>26</v>
      </c>
      <c r="J14" s="28">
        <v>22</v>
      </c>
      <c r="K14" s="28">
        <v>87000</v>
      </c>
      <c r="L14" s="28">
        <v>69573</v>
      </c>
      <c r="M14" s="28" t="s">
        <v>25</v>
      </c>
      <c r="N14" s="28" t="s">
        <v>75</v>
      </c>
      <c r="O14" s="30">
        <f t="shared" si="0"/>
        <v>85500</v>
      </c>
      <c r="P14" s="31">
        <f t="shared" si="7"/>
        <v>0.846153846153846</v>
      </c>
      <c r="Q14" s="32">
        <f t="shared" si="1"/>
        <v>-17427</v>
      </c>
      <c r="R14" s="32">
        <f ca="1" t="shared" si="4"/>
        <v>2</v>
      </c>
      <c r="S14" s="40" t="str">
        <f t="shared" si="5"/>
        <v>Not Eligible</v>
      </c>
      <c r="T14" s="40" t="str">
        <f ca="1" t="shared" si="2"/>
        <v>Not Eligible</v>
      </c>
      <c r="U14" s="40" t="str">
        <f t="shared" si="3"/>
        <v>Need Improvement</v>
      </c>
      <c r="V14" s="41"/>
      <c r="W14" s="38" t="s">
        <v>25</v>
      </c>
      <c r="X14" s="39">
        <f>COUNTIF(M2:M101,W14)</f>
        <v>42</v>
      </c>
    </row>
    <row r="15" spans="1:24">
      <c r="A15" s="28" t="s">
        <v>76</v>
      </c>
      <c r="B15" s="28" t="s">
        <v>77</v>
      </c>
      <c r="C15" s="28" t="s">
        <v>66</v>
      </c>
      <c r="D15" s="28" t="s">
        <v>67</v>
      </c>
      <c r="E15" s="29">
        <v>44859</v>
      </c>
      <c r="F15" s="28">
        <v>53000</v>
      </c>
      <c r="G15" s="28">
        <v>5000</v>
      </c>
      <c r="H15" s="28">
        <v>500</v>
      </c>
      <c r="I15" s="28">
        <v>26</v>
      </c>
      <c r="J15" s="28">
        <v>25</v>
      </c>
      <c r="K15" s="28">
        <v>93000</v>
      </c>
      <c r="L15" s="28">
        <v>98517</v>
      </c>
      <c r="M15" s="28" t="s">
        <v>34</v>
      </c>
      <c r="N15" s="28" t="s">
        <v>78</v>
      </c>
      <c r="O15" s="30">
        <f t="shared" si="0"/>
        <v>58500</v>
      </c>
      <c r="P15" s="31">
        <f t="shared" si="7"/>
        <v>0.961538461538462</v>
      </c>
      <c r="Q15" s="32">
        <f t="shared" si="1"/>
        <v>5517</v>
      </c>
      <c r="R15" s="32">
        <f ca="1" t="shared" si="4"/>
        <v>3</v>
      </c>
      <c r="S15" s="32" t="str">
        <f t="shared" si="5"/>
        <v>Not Eligible</v>
      </c>
      <c r="T15" s="32" t="str">
        <f ca="1" t="shared" si="2"/>
        <v>Not Eligible</v>
      </c>
      <c r="U15" s="32" t="str">
        <f t="shared" si="3"/>
        <v>Excellent</v>
      </c>
      <c r="V15" s="41"/>
      <c r="W15" s="44"/>
      <c r="X15" s="45"/>
    </row>
    <row r="16" spans="1:24">
      <c r="A16" s="28" t="s">
        <v>79</v>
      </c>
      <c r="B16" s="28" t="s">
        <v>80</v>
      </c>
      <c r="C16" s="28" t="s">
        <v>53</v>
      </c>
      <c r="D16" s="28" t="s">
        <v>40</v>
      </c>
      <c r="E16" s="29">
        <v>44847</v>
      </c>
      <c r="F16" s="28">
        <v>41000</v>
      </c>
      <c r="G16" s="28">
        <v>5000</v>
      </c>
      <c r="H16" s="28">
        <v>2000</v>
      </c>
      <c r="I16" s="28">
        <v>26</v>
      </c>
      <c r="J16" s="28">
        <v>25</v>
      </c>
      <c r="K16" s="28">
        <v>84000</v>
      </c>
      <c r="L16" s="28">
        <v>100890</v>
      </c>
      <c r="M16" s="28" t="s">
        <v>34</v>
      </c>
      <c r="N16" s="28" t="s">
        <v>81</v>
      </c>
      <c r="O16" s="30">
        <f t="shared" si="0"/>
        <v>48000</v>
      </c>
      <c r="P16" s="31">
        <f t="shared" si="7"/>
        <v>0.961538461538462</v>
      </c>
      <c r="Q16" s="32">
        <f t="shared" si="1"/>
        <v>16890</v>
      </c>
      <c r="R16" s="32">
        <f ca="1" t="shared" si="4"/>
        <v>3</v>
      </c>
      <c r="S16" s="40" t="str">
        <f t="shared" si="5"/>
        <v>Not Eligible</v>
      </c>
      <c r="T16" s="40" t="str">
        <f ca="1" t="shared" si="2"/>
        <v>Not Eligible</v>
      </c>
      <c r="U16" s="40" t="str">
        <f t="shared" si="3"/>
        <v>Excellent</v>
      </c>
      <c r="V16" s="41"/>
      <c r="W16" s="44"/>
      <c r="X16" s="45"/>
    </row>
    <row r="17" spans="1:27">
      <c r="A17" s="28" t="s">
        <v>82</v>
      </c>
      <c r="B17" s="28" t="s">
        <v>83</v>
      </c>
      <c r="C17" s="28" t="s">
        <v>66</v>
      </c>
      <c r="D17" s="28" t="s">
        <v>67</v>
      </c>
      <c r="E17" s="29">
        <v>45685</v>
      </c>
      <c r="F17" s="28">
        <v>77000</v>
      </c>
      <c r="G17" s="28">
        <v>2500</v>
      </c>
      <c r="H17" s="28">
        <v>1500</v>
      </c>
      <c r="I17" s="28">
        <v>26</v>
      </c>
      <c r="J17" s="28">
        <v>21</v>
      </c>
      <c r="K17" s="28">
        <v>149000</v>
      </c>
      <c r="L17" s="28">
        <v>169583</v>
      </c>
      <c r="M17" s="28" t="s">
        <v>34</v>
      </c>
      <c r="N17" s="28" t="s">
        <v>84</v>
      </c>
      <c r="O17" s="30">
        <f t="shared" si="0"/>
        <v>81000</v>
      </c>
      <c r="P17" s="31">
        <f t="shared" si="7"/>
        <v>0.807692307692308</v>
      </c>
      <c r="Q17" s="32">
        <f t="shared" si="1"/>
        <v>20583</v>
      </c>
      <c r="R17" s="32">
        <f ca="1" t="shared" si="4"/>
        <v>1</v>
      </c>
      <c r="S17" s="40" t="str">
        <f t="shared" si="5"/>
        <v>Eligible</v>
      </c>
      <c r="T17" s="46" t="str">
        <f ca="1" t="shared" si="2"/>
        <v>Not Eligible</v>
      </c>
      <c r="U17" s="46" t="str">
        <f t="shared" si="3"/>
        <v>Good</v>
      </c>
      <c r="V17" s="47"/>
      <c r="W17" s="48" t="s">
        <v>85</v>
      </c>
      <c r="X17" s="39"/>
    </row>
    <row r="18" spans="1:27">
      <c r="A18" s="28" t="s">
        <v>86</v>
      </c>
      <c r="B18" s="28" t="s">
        <v>87</v>
      </c>
      <c r="C18" s="28" t="s">
        <v>39</v>
      </c>
      <c r="D18" s="28" t="s">
        <v>40</v>
      </c>
      <c r="E18" s="29">
        <v>45613</v>
      </c>
      <c r="F18" s="28">
        <v>71000</v>
      </c>
      <c r="G18" s="28">
        <v>4500</v>
      </c>
      <c r="H18" s="28">
        <v>4000</v>
      </c>
      <c r="I18" s="28">
        <v>26</v>
      </c>
      <c r="J18" s="28">
        <v>22</v>
      </c>
      <c r="K18" s="28">
        <v>106000</v>
      </c>
      <c r="L18" s="28">
        <v>102408</v>
      </c>
      <c r="M18" s="28" t="s">
        <v>25</v>
      </c>
      <c r="N18" s="28" t="s">
        <v>88</v>
      </c>
      <c r="O18" s="30">
        <f t="shared" si="0"/>
        <v>79500</v>
      </c>
      <c r="P18" s="31">
        <f t="shared" si="7"/>
        <v>0.846153846153846</v>
      </c>
      <c r="Q18" s="32">
        <f t="shared" si="1"/>
        <v>-3592</v>
      </c>
      <c r="R18" s="32">
        <f ca="1" t="shared" si="4"/>
        <v>1</v>
      </c>
      <c r="S18" s="32" t="str">
        <f t="shared" si="5"/>
        <v>Not Eligible</v>
      </c>
      <c r="T18" s="32" t="str">
        <f ca="1" t="shared" si="2"/>
        <v>Not Eligible</v>
      </c>
      <c r="U18" s="32" t="str">
        <f t="shared" si="3"/>
        <v>Need Improvement</v>
      </c>
      <c r="W18" s="39" t="s">
        <v>29</v>
      </c>
      <c r="X18" s="39">
        <f>SUMIF(C2:C101,W18,F2:F101)</f>
        <v>1041000</v>
      </c>
    </row>
    <row r="19" spans="1:27">
      <c r="A19" s="28" t="s">
        <v>89</v>
      </c>
      <c r="B19" s="28" t="s">
        <v>90</v>
      </c>
      <c r="C19" s="28" t="s">
        <v>66</v>
      </c>
      <c r="D19" s="28" t="s">
        <v>67</v>
      </c>
      <c r="E19" s="29">
        <v>45642</v>
      </c>
      <c r="F19" s="28">
        <v>80000</v>
      </c>
      <c r="G19" s="28">
        <v>4000</v>
      </c>
      <c r="H19" s="28">
        <v>3500</v>
      </c>
      <c r="I19" s="28">
        <v>26</v>
      </c>
      <c r="J19" s="28">
        <v>24</v>
      </c>
      <c r="K19" s="28">
        <v>72000</v>
      </c>
      <c r="L19" s="28">
        <v>92903</v>
      </c>
      <c r="M19" s="28" t="s">
        <v>34</v>
      </c>
      <c r="N19" s="28" t="s">
        <v>91</v>
      </c>
      <c r="O19" s="30">
        <f t="shared" si="0"/>
        <v>87500</v>
      </c>
      <c r="P19" s="31">
        <f t="shared" si="7"/>
        <v>0.923076923076923</v>
      </c>
      <c r="Q19" s="32">
        <f t="shared" si="1"/>
        <v>20903</v>
      </c>
      <c r="R19" s="32">
        <f ca="1" t="shared" si="4"/>
        <v>1</v>
      </c>
      <c r="S19" s="32" t="str">
        <f t="shared" si="5"/>
        <v>Eligible</v>
      </c>
      <c r="T19" s="32" t="str">
        <f ca="1" t="shared" si="2"/>
        <v>Not Eligible</v>
      </c>
      <c r="U19" s="32" t="str">
        <f t="shared" si="3"/>
        <v>Good</v>
      </c>
    </row>
    <row r="20" spans="1:27">
      <c r="A20" s="28" t="s">
        <v>92</v>
      </c>
      <c r="B20" s="28" t="s">
        <v>93</v>
      </c>
      <c r="C20" s="28" t="s">
        <v>23</v>
      </c>
      <c r="D20" s="28" t="s">
        <v>24</v>
      </c>
      <c r="E20" s="29">
        <v>43981</v>
      </c>
      <c r="F20" s="28">
        <v>60000</v>
      </c>
      <c r="G20" s="28">
        <v>3500</v>
      </c>
      <c r="H20" s="28">
        <v>2500</v>
      </c>
      <c r="I20" s="28">
        <v>26</v>
      </c>
      <c r="J20" s="28">
        <v>21</v>
      </c>
      <c r="K20" s="28">
        <v>97000</v>
      </c>
      <c r="L20" s="28">
        <v>101696</v>
      </c>
      <c r="M20" s="28" t="s">
        <v>34</v>
      </c>
      <c r="N20" s="28" t="s">
        <v>94</v>
      </c>
      <c r="O20" s="30">
        <f t="shared" si="0"/>
        <v>66000</v>
      </c>
      <c r="P20" s="31">
        <f t="shared" si="7"/>
        <v>0.807692307692308</v>
      </c>
      <c r="Q20" s="32">
        <f t="shared" si="1"/>
        <v>4696</v>
      </c>
      <c r="R20" s="32">
        <f ca="1" t="shared" si="4"/>
        <v>6</v>
      </c>
      <c r="S20" s="32" t="str">
        <f t="shared" si="5"/>
        <v>Not Eligible</v>
      </c>
      <c r="T20" s="49" t="str">
        <f ca="1" t="shared" si="2"/>
        <v>Eligible</v>
      </c>
      <c r="U20" s="49" t="str">
        <f t="shared" si="3"/>
        <v>Good</v>
      </c>
    </row>
    <row r="21" spans="1:27">
      <c r="A21" s="28" t="s">
        <v>95</v>
      </c>
      <c r="B21" s="28" t="s">
        <v>96</v>
      </c>
      <c r="C21" s="28" t="s">
        <v>66</v>
      </c>
      <c r="D21" s="28" t="s">
        <v>67</v>
      </c>
      <c r="E21" s="29">
        <v>45453</v>
      </c>
      <c r="F21" s="28">
        <v>31000</v>
      </c>
      <c r="G21" s="28">
        <v>3500</v>
      </c>
      <c r="H21" s="28">
        <v>3000</v>
      </c>
      <c r="I21" s="28">
        <v>26</v>
      </c>
      <c r="J21" s="28">
        <v>20</v>
      </c>
      <c r="K21" s="28">
        <v>137000</v>
      </c>
      <c r="L21" s="28">
        <v>150363</v>
      </c>
      <c r="M21" s="28" t="s">
        <v>34</v>
      </c>
      <c r="N21" s="28" t="s">
        <v>97</v>
      </c>
      <c r="O21" s="30">
        <f t="shared" si="0"/>
        <v>37500</v>
      </c>
      <c r="P21" s="31">
        <f t="shared" si="7"/>
        <v>0.769230769230769</v>
      </c>
      <c r="Q21" s="32">
        <f t="shared" si="1"/>
        <v>13363</v>
      </c>
      <c r="R21" s="32">
        <f ca="1" t="shared" si="4"/>
        <v>2</v>
      </c>
      <c r="S21" s="32" t="str">
        <f t="shared" si="5"/>
        <v>Not Eligible</v>
      </c>
      <c r="T21" s="32" t="str">
        <f ca="1" t="shared" si="2"/>
        <v>Not Eligible</v>
      </c>
      <c r="U21" s="32" t="str">
        <f t="shared" si="3"/>
        <v>Good</v>
      </c>
    </row>
    <row r="22" spans="1:27">
      <c r="A22" s="28" t="s">
        <v>98</v>
      </c>
      <c r="B22" s="28" t="s">
        <v>99</v>
      </c>
      <c r="C22" s="28" t="s">
        <v>66</v>
      </c>
      <c r="D22" s="28" t="s">
        <v>67</v>
      </c>
      <c r="E22" s="29">
        <v>45112</v>
      </c>
      <c r="F22" s="28">
        <v>78000</v>
      </c>
      <c r="G22" s="28">
        <v>4500</v>
      </c>
      <c r="H22" s="28">
        <v>1000</v>
      </c>
      <c r="I22" s="28">
        <v>26</v>
      </c>
      <c r="J22" s="28">
        <v>21</v>
      </c>
      <c r="K22" s="28">
        <v>86000</v>
      </c>
      <c r="L22" s="28">
        <v>109021</v>
      </c>
      <c r="M22" s="28" t="s">
        <v>34</v>
      </c>
      <c r="N22" s="28" t="s">
        <v>100</v>
      </c>
      <c r="O22" s="30">
        <f t="shared" si="0"/>
        <v>83500</v>
      </c>
      <c r="P22" s="31">
        <f t="shared" si="7"/>
        <v>0.807692307692308</v>
      </c>
      <c r="Q22" s="32">
        <f t="shared" si="1"/>
        <v>23021</v>
      </c>
      <c r="R22" s="32">
        <f ca="1" t="shared" si="4"/>
        <v>3</v>
      </c>
      <c r="S22" s="32" t="str">
        <f t="shared" si="5"/>
        <v>Eligible</v>
      </c>
      <c r="T22" s="32" t="str">
        <f ca="1" t="shared" si="2"/>
        <v>Not Eligible</v>
      </c>
      <c r="U22" s="32" t="str">
        <f t="shared" si="3"/>
        <v>Good</v>
      </c>
      <c r="X22" s="50" t="s">
        <v>101</v>
      </c>
      <c r="Y22" s="50"/>
    </row>
    <row r="23" spans="1:27">
      <c r="A23" s="28" t="s">
        <v>102</v>
      </c>
      <c r="B23" s="28" t="s">
        <v>103</v>
      </c>
      <c r="C23" s="28" t="s">
        <v>66</v>
      </c>
      <c r="D23" s="28" t="s">
        <v>67</v>
      </c>
      <c r="E23" s="29">
        <v>44647</v>
      </c>
      <c r="F23" s="28">
        <v>35000</v>
      </c>
      <c r="G23" s="28">
        <v>4000</v>
      </c>
      <c r="H23" s="28">
        <v>3000</v>
      </c>
      <c r="I23" s="28">
        <v>26</v>
      </c>
      <c r="J23" s="28">
        <v>20</v>
      </c>
      <c r="K23" s="28">
        <v>73000</v>
      </c>
      <c r="L23" s="28">
        <v>79407</v>
      </c>
      <c r="M23" s="28" t="s">
        <v>34</v>
      </c>
      <c r="N23" s="28" t="s">
        <v>104</v>
      </c>
      <c r="O23" s="30">
        <f t="shared" si="0"/>
        <v>42000</v>
      </c>
      <c r="P23" s="31">
        <f t="shared" si="7"/>
        <v>0.769230769230769</v>
      </c>
      <c r="Q23" s="32">
        <f t="shared" si="1"/>
        <v>6407</v>
      </c>
      <c r="R23" s="32">
        <f ca="1" t="shared" si="4"/>
        <v>4</v>
      </c>
      <c r="S23" s="32" t="str">
        <f t="shared" si="5"/>
        <v>Not Eligible</v>
      </c>
      <c r="T23" s="32" t="str">
        <f ca="1" t="shared" si="2"/>
        <v>Not Eligible</v>
      </c>
      <c r="U23" s="32" t="str">
        <f t="shared" si="3"/>
        <v>Good</v>
      </c>
      <c r="W23" s="51" t="s">
        <v>105</v>
      </c>
      <c r="X23" s="51" t="s">
        <v>106</v>
      </c>
      <c r="Y23" s="51" t="s">
        <v>2</v>
      </c>
      <c r="Z23" s="51" t="s">
        <v>107</v>
      </c>
      <c r="AA23" s="52"/>
    </row>
    <row r="24" spans="1:27">
      <c r="A24" s="28" t="s">
        <v>108</v>
      </c>
      <c r="B24" s="28" t="s">
        <v>109</v>
      </c>
      <c r="C24" s="28" t="s">
        <v>29</v>
      </c>
      <c r="D24" s="28" t="s">
        <v>30</v>
      </c>
      <c r="E24" s="29">
        <v>44843</v>
      </c>
      <c r="F24" s="28">
        <v>54000</v>
      </c>
      <c r="G24" s="28">
        <v>2000</v>
      </c>
      <c r="H24" s="28">
        <v>4000</v>
      </c>
      <c r="I24" s="28">
        <v>26</v>
      </c>
      <c r="J24" s="28">
        <v>21</v>
      </c>
      <c r="K24" s="28">
        <v>139000</v>
      </c>
      <c r="L24" s="28">
        <v>119165</v>
      </c>
      <c r="M24" s="28" t="s">
        <v>25</v>
      </c>
      <c r="N24" s="28" t="s">
        <v>110</v>
      </c>
      <c r="O24" s="30">
        <f t="shared" si="0"/>
        <v>60000</v>
      </c>
      <c r="P24" s="31">
        <f t="shared" si="7"/>
        <v>0.807692307692308</v>
      </c>
      <c r="Q24" s="32">
        <f t="shared" si="1"/>
        <v>-19835</v>
      </c>
      <c r="R24" s="32">
        <f ca="1" t="shared" si="4"/>
        <v>3</v>
      </c>
      <c r="S24" s="32" t="str">
        <f t="shared" si="5"/>
        <v>Not Eligible</v>
      </c>
      <c r="T24" s="32" t="str">
        <f ca="1" t="shared" si="2"/>
        <v>Not Eligible</v>
      </c>
      <c r="U24" s="32" t="str">
        <f t="shared" si="3"/>
        <v>Need Improvement</v>
      </c>
      <c r="W24" s="53" t="s">
        <v>51</v>
      </c>
      <c r="X24" s="53" t="str">
        <f ca="1">VLOOKUP(W24,A2:U101,2,FALSE)</f>
        <v>Hasan Hasan</v>
      </c>
      <c r="Y24" s="53" t="str">
        <f ca="1">VLOOKUP(W24,A2:U101,3,FALSE)</f>
        <v>Sales</v>
      </c>
      <c r="Z24" s="53">
        <f ca="1">VLOOKUP(W24,A2:U101,6,FALSE)</f>
        <v>65000</v>
      </c>
      <c r="AA24" s="52"/>
    </row>
    <row r="25" spans="1:27">
      <c r="A25" s="28" t="s">
        <v>111</v>
      </c>
      <c r="B25" s="28" t="s">
        <v>87</v>
      </c>
      <c r="C25" s="28" t="s">
        <v>53</v>
      </c>
      <c r="D25" s="28" t="s">
        <v>40</v>
      </c>
      <c r="E25" s="29">
        <v>45728</v>
      </c>
      <c r="F25" s="28">
        <v>65000</v>
      </c>
      <c r="G25" s="28">
        <v>3000</v>
      </c>
      <c r="H25" s="28">
        <v>4000</v>
      </c>
      <c r="I25" s="28">
        <v>26</v>
      </c>
      <c r="J25" s="28">
        <v>24</v>
      </c>
      <c r="K25" s="28">
        <v>87000</v>
      </c>
      <c r="L25" s="28">
        <v>96450</v>
      </c>
      <c r="M25" s="28" t="s">
        <v>34</v>
      </c>
      <c r="N25" s="28" t="s">
        <v>88</v>
      </c>
      <c r="O25" s="30">
        <f t="shared" si="0"/>
        <v>72000</v>
      </c>
      <c r="P25" s="31">
        <f t="shared" si="7"/>
        <v>0.923076923076923</v>
      </c>
      <c r="Q25" s="32">
        <f t="shared" si="1"/>
        <v>9450</v>
      </c>
      <c r="R25" s="32">
        <f ca="1" t="shared" si="4"/>
        <v>1</v>
      </c>
      <c r="S25" s="32" t="str">
        <f t="shared" si="5"/>
        <v>Eligible</v>
      </c>
      <c r="T25" s="32" t="str">
        <f ca="1" t="shared" si="2"/>
        <v>Not Eligible</v>
      </c>
      <c r="U25" s="32" t="str">
        <f t="shared" si="3"/>
        <v>Good</v>
      </c>
    </row>
    <row r="26" spans="1:27">
      <c r="A26" s="28" t="s">
        <v>112</v>
      </c>
      <c r="B26" s="28" t="s">
        <v>113</v>
      </c>
      <c r="C26" s="28" t="s">
        <v>53</v>
      </c>
      <c r="D26" s="28" t="s">
        <v>40</v>
      </c>
      <c r="E26" s="29">
        <v>45659</v>
      </c>
      <c r="F26" s="28">
        <v>63000</v>
      </c>
      <c r="G26" s="28">
        <v>3000</v>
      </c>
      <c r="H26" s="28">
        <v>3500</v>
      </c>
      <c r="I26" s="28">
        <v>26</v>
      </c>
      <c r="J26" s="28">
        <v>26</v>
      </c>
      <c r="K26" s="28">
        <v>83000</v>
      </c>
      <c r="L26" s="28">
        <v>70571</v>
      </c>
      <c r="M26" s="28" t="s">
        <v>25</v>
      </c>
      <c r="N26" s="28" t="s">
        <v>114</v>
      </c>
      <c r="O26" s="30">
        <f t="shared" si="0"/>
        <v>69500</v>
      </c>
      <c r="P26" s="31">
        <f t="shared" si="7"/>
        <v>1</v>
      </c>
      <c r="Q26" s="32">
        <f t="shared" si="1"/>
        <v>-12429</v>
      </c>
      <c r="R26" s="32">
        <f ca="1" t="shared" si="4"/>
        <v>1</v>
      </c>
      <c r="S26" s="32" t="str">
        <f t="shared" si="5"/>
        <v>Not Eligible</v>
      </c>
      <c r="T26" s="32" t="str">
        <f ca="1" t="shared" si="2"/>
        <v>Not Eligible</v>
      </c>
      <c r="U26" s="32" t="str">
        <f t="shared" si="3"/>
        <v>Need Improvement</v>
      </c>
      <c r="X26" s="54" t="s">
        <v>115</v>
      </c>
      <c r="Y26" s="54"/>
      <c r="Z26" s="54"/>
    </row>
    <row r="27" spans="1:27">
      <c r="A27" s="28" t="s">
        <v>116</v>
      </c>
      <c r="B27" s="28" t="s">
        <v>74</v>
      </c>
      <c r="C27" s="28" t="s">
        <v>23</v>
      </c>
      <c r="D27" s="28" t="s">
        <v>24</v>
      </c>
      <c r="E27" s="29">
        <v>45274</v>
      </c>
      <c r="F27" s="28">
        <v>58000</v>
      </c>
      <c r="G27" s="28">
        <v>3000</v>
      </c>
      <c r="H27" s="28">
        <v>3000</v>
      </c>
      <c r="I27" s="28">
        <v>26</v>
      </c>
      <c r="J27" s="28">
        <v>25</v>
      </c>
      <c r="K27" s="28">
        <v>91000</v>
      </c>
      <c r="L27" s="28">
        <v>99515</v>
      </c>
      <c r="M27" s="28" t="s">
        <v>34</v>
      </c>
      <c r="N27" s="28" t="s">
        <v>75</v>
      </c>
      <c r="O27" s="30">
        <f t="shared" si="0"/>
        <v>64000</v>
      </c>
      <c r="P27" s="31">
        <f t="shared" si="7"/>
        <v>0.961538461538462</v>
      </c>
      <c r="Q27" s="32">
        <f t="shared" si="1"/>
        <v>8515</v>
      </c>
      <c r="R27" s="32">
        <f ca="1" t="shared" si="4"/>
        <v>2</v>
      </c>
      <c r="S27" s="32" t="str">
        <f t="shared" si="5"/>
        <v>Not Eligible</v>
      </c>
      <c r="T27" s="32" t="str">
        <f ca="1" t="shared" si="2"/>
        <v>Not Eligible</v>
      </c>
      <c r="U27" s="32" t="str">
        <f t="shared" si="3"/>
        <v>Excellent</v>
      </c>
      <c r="W27" t="s">
        <v>2</v>
      </c>
      <c r="X27" t="s">
        <v>117</v>
      </c>
      <c r="Y27" t="s">
        <v>118</v>
      </c>
      <c r="Z27" t="s">
        <v>119</v>
      </c>
      <c r="AA27" t="s">
        <v>120</v>
      </c>
    </row>
    <row r="28" spans="1:27">
      <c r="A28" s="28" t="s">
        <v>121</v>
      </c>
      <c r="B28" s="28" t="s">
        <v>122</v>
      </c>
      <c r="C28" s="28" t="s">
        <v>29</v>
      </c>
      <c r="D28" s="28" t="s">
        <v>30</v>
      </c>
      <c r="E28" s="29">
        <v>45027</v>
      </c>
      <c r="F28" s="28">
        <v>50000</v>
      </c>
      <c r="G28" s="28">
        <v>2000</v>
      </c>
      <c r="H28" s="28">
        <v>1000</v>
      </c>
      <c r="I28" s="28">
        <v>26</v>
      </c>
      <c r="J28" s="28">
        <v>24</v>
      </c>
      <c r="K28" s="28">
        <v>104000</v>
      </c>
      <c r="L28" s="28">
        <v>90160</v>
      </c>
      <c r="M28" s="28" t="s">
        <v>25</v>
      </c>
      <c r="N28" s="28" t="s">
        <v>123</v>
      </c>
      <c r="O28" s="30">
        <f t="shared" si="0"/>
        <v>53000</v>
      </c>
      <c r="P28" s="31">
        <f t="shared" si="7"/>
        <v>0.923076923076923</v>
      </c>
      <c r="Q28" s="32">
        <f t="shared" si="1"/>
        <v>-13840</v>
      </c>
      <c r="R28" s="32">
        <f ca="1" t="shared" si="4"/>
        <v>3</v>
      </c>
      <c r="S28" s="32" t="str">
        <f t="shared" si="5"/>
        <v>Not Eligible</v>
      </c>
      <c r="T28" s="32" t="str">
        <f ca="1" t="shared" si="2"/>
        <v>Not Eligible</v>
      </c>
      <c r="U28" s="32" t="str">
        <f t="shared" si="3"/>
        <v>Need Improvement</v>
      </c>
      <c r="W28" t="s">
        <v>66</v>
      </c>
      <c r="X28">
        <v>18</v>
      </c>
      <c r="Y28">
        <v>990000</v>
      </c>
      <c r="Z28">
        <v>80000</v>
      </c>
      <c r="AA28">
        <v>55000</v>
      </c>
    </row>
    <row r="29" spans="1:27">
      <c r="A29" s="28" t="s">
        <v>124</v>
      </c>
      <c r="B29" s="28" t="s">
        <v>125</v>
      </c>
      <c r="C29" s="28" t="s">
        <v>53</v>
      </c>
      <c r="D29" s="28" t="s">
        <v>40</v>
      </c>
      <c r="E29" s="29">
        <v>45988</v>
      </c>
      <c r="F29" s="28">
        <v>32000</v>
      </c>
      <c r="G29" s="28">
        <v>3000</v>
      </c>
      <c r="H29" s="28">
        <v>3000</v>
      </c>
      <c r="I29" s="28">
        <v>26</v>
      </c>
      <c r="J29" s="28">
        <v>22</v>
      </c>
      <c r="K29" s="28">
        <v>85000</v>
      </c>
      <c r="L29" s="28">
        <v>92923</v>
      </c>
      <c r="M29" s="28" t="s">
        <v>34</v>
      </c>
      <c r="N29" s="28" t="s">
        <v>126</v>
      </c>
      <c r="O29" s="30">
        <f t="shared" si="0"/>
        <v>38000</v>
      </c>
      <c r="P29" s="31">
        <f t="shared" si="7"/>
        <v>0.846153846153846</v>
      </c>
      <c r="Q29" s="32">
        <f t="shared" si="1"/>
        <v>7923</v>
      </c>
      <c r="R29" s="32">
        <f ca="1" t="shared" si="4"/>
        <v>0</v>
      </c>
      <c r="S29" s="32" t="str">
        <f t="shared" si="5"/>
        <v>Not Eligible</v>
      </c>
      <c r="T29" s="32" t="str">
        <f ca="1" t="shared" si="2"/>
        <v>Not Eligible</v>
      </c>
      <c r="U29" s="32" t="str">
        <f t="shared" si="3"/>
        <v>Good</v>
      </c>
      <c r="W29" t="s">
        <v>29</v>
      </c>
      <c r="X29">
        <v>8</v>
      </c>
      <c r="Y29">
        <v>475000</v>
      </c>
      <c r="Z29">
        <v>80000</v>
      </c>
      <c r="AA29">
        <v>59375</v>
      </c>
    </row>
    <row r="30" spans="1:27">
      <c r="A30" s="28" t="s">
        <v>127</v>
      </c>
      <c r="B30" s="28" t="s">
        <v>128</v>
      </c>
      <c r="C30" s="28" t="s">
        <v>66</v>
      </c>
      <c r="D30" s="28" t="s">
        <v>67</v>
      </c>
      <c r="E30" s="29">
        <v>45853</v>
      </c>
      <c r="F30" s="28">
        <v>53000</v>
      </c>
      <c r="G30" s="28">
        <v>2500</v>
      </c>
      <c r="H30" s="28">
        <v>1500</v>
      </c>
      <c r="I30" s="28">
        <v>26</v>
      </c>
      <c r="J30" s="28">
        <v>21</v>
      </c>
      <c r="K30" s="28">
        <v>111000</v>
      </c>
      <c r="L30" s="28">
        <v>124544</v>
      </c>
      <c r="M30" s="28" t="s">
        <v>34</v>
      </c>
      <c r="N30" s="28" t="s">
        <v>129</v>
      </c>
      <c r="O30" s="30">
        <f t="shared" si="0"/>
        <v>57000</v>
      </c>
      <c r="P30" s="31">
        <f t="shared" si="7"/>
        <v>0.807692307692308</v>
      </c>
      <c r="Q30" s="32">
        <f t="shared" si="1"/>
        <v>13544</v>
      </c>
      <c r="R30" s="32">
        <f ca="1" t="shared" si="4"/>
        <v>1</v>
      </c>
      <c r="S30" s="32" t="str">
        <f t="shared" si="5"/>
        <v>Not Eligible</v>
      </c>
      <c r="T30" s="32" t="str">
        <f ca="1" t="shared" si="2"/>
        <v>Not Eligible</v>
      </c>
      <c r="U30" s="32" t="str">
        <f t="shared" si="3"/>
        <v>Good</v>
      </c>
      <c r="W30" t="s">
        <v>23</v>
      </c>
      <c r="X30">
        <v>8</v>
      </c>
      <c r="Y30">
        <v>496000</v>
      </c>
      <c r="Z30">
        <v>78000</v>
      </c>
      <c r="AA30">
        <v>62000</v>
      </c>
    </row>
    <row r="31" spans="1:27">
      <c r="A31" s="28" t="s">
        <v>130</v>
      </c>
      <c r="B31" s="28" t="s">
        <v>131</v>
      </c>
      <c r="C31" s="28" t="s">
        <v>23</v>
      </c>
      <c r="D31" s="28" t="s">
        <v>24</v>
      </c>
      <c r="E31" s="29">
        <v>43993</v>
      </c>
      <c r="F31" s="28">
        <v>74000</v>
      </c>
      <c r="G31" s="28">
        <v>5000</v>
      </c>
      <c r="H31" s="28">
        <v>2500</v>
      </c>
      <c r="I31" s="28">
        <v>26</v>
      </c>
      <c r="J31" s="28">
        <v>22</v>
      </c>
      <c r="K31" s="28">
        <v>128000</v>
      </c>
      <c r="L31" s="28">
        <v>146874</v>
      </c>
      <c r="M31" s="28" t="s">
        <v>34</v>
      </c>
      <c r="N31" s="28" t="s">
        <v>132</v>
      </c>
      <c r="O31" s="30">
        <f t="shared" si="0"/>
        <v>81500</v>
      </c>
      <c r="P31" s="31">
        <f t="shared" si="7"/>
        <v>0.846153846153846</v>
      </c>
      <c r="Q31" s="32">
        <f t="shared" si="1"/>
        <v>18874</v>
      </c>
      <c r="R31" s="32">
        <f ca="1" t="shared" si="4"/>
        <v>6</v>
      </c>
      <c r="S31" s="32" t="str">
        <f t="shared" si="5"/>
        <v>Eligible</v>
      </c>
      <c r="T31" s="32" t="str">
        <f ca="1" t="shared" si="2"/>
        <v>Eligible</v>
      </c>
      <c r="U31" s="32" t="str">
        <f t="shared" si="3"/>
        <v>Good</v>
      </c>
      <c r="W31" t="s">
        <v>39</v>
      </c>
      <c r="X31">
        <v>10</v>
      </c>
      <c r="Y31">
        <v>496000</v>
      </c>
      <c r="Z31">
        <v>74000</v>
      </c>
      <c r="AA31">
        <v>49600</v>
      </c>
    </row>
    <row r="32" spans="1:27">
      <c r="A32" s="28" t="s">
        <v>133</v>
      </c>
      <c r="B32" s="28" t="s">
        <v>134</v>
      </c>
      <c r="C32" s="28" t="s">
        <v>66</v>
      </c>
      <c r="D32" s="28" t="s">
        <v>67</v>
      </c>
      <c r="E32" s="29">
        <v>44082</v>
      </c>
      <c r="F32" s="28">
        <v>55000</v>
      </c>
      <c r="G32" s="28">
        <v>2000</v>
      </c>
      <c r="H32" s="28">
        <v>3000</v>
      </c>
      <c r="I32" s="28">
        <v>26</v>
      </c>
      <c r="J32" s="28">
        <v>25</v>
      </c>
      <c r="K32" s="28">
        <v>119000</v>
      </c>
      <c r="L32" s="28">
        <v>135586</v>
      </c>
      <c r="M32" s="28" t="s">
        <v>34</v>
      </c>
      <c r="N32" s="28" t="s">
        <v>135</v>
      </c>
      <c r="O32" s="30">
        <f t="shared" si="0"/>
        <v>60000</v>
      </c>
      <c r="P32" s="31">
        <f t="shared" si="7"/>
        <v>0.961538461538462</v>
      </c>
      <c r="Q32" s="32">
        <f t="shared" si="1"/>
        <v>16586</v>
      </c>
      <c r="R32" s="32">
        <f ca="1" t="shared" si="4"/>
        <v>5</v>
      </c>
      <c r="S32" s="32" t="str">
        <f t="shared" si="5"/>
        <v>Not Eligible</v>
      </c>
      <c r="T32" s="32" t="str">
        <f ca="1" t="shared" si="2"/>
        <v>Eligible</v>
      </c>
      <c r="U32" s="32" t="str">
        <f t="shared" si="3"/>
        <v>Excellent</v>
      </c>
      <c r="W32" t="s">
        <v>136</v>
      </c>
      <c r="X32">
        <v>44</v>
      </c>
      <c r="Y32">
        <v>2457000</v>
      </c>
      <c r="Z32">
        <v>80000</v>
      </c>
      <c r="AA32">
        <v>55840.9090909091</v>
      </c>
    </row>
    <row r="33" spans="1:26">
      <c r="A33" s="28" t="s">
        <v>137</v>
      </c>
      <c r="B33" s="28" t="s">
        <v>65</v>
      </c>
      <c r="C33" s="28" t="s">
        <v>66</v>
      </c>
      <c r="D33" s="28" t="s">
        <v>67</v>
      </c>
      <c r="E33" s="29">
        <v>45868</v>
      </c>
      <c r="F33" s="28">
        <v>76000</v>
      </c>
      <c r="G33" s="28">
        <v>1500</v>
      </c>
      <c r="H33" s="28">
        <v>500</v>
      </c>
      <c r="I33" s="28">
        <v>26</v>
      </c>
      <c r="J33" s="28">
        <v>25</v>
      </c>
      <c r="K33" s="28">
        <v>146000</v>
      </c>
      <c r="L33" s="28">
        <v>162457</v>
      </c>
      <c r="M33" s="28" t="s">
        <v>34</v>
      </c>
      <c r="N33" s="28" t="s">
        <v>68</v>
      </c>
      <c r="O33" s="30">
        <f t="shared" si="0"/>
        <v>78000</v>
      </c>
      <c r="P33" s="31">
        <f t="shared" si="7"/>
        <v>0.961538461538462</v>
      </c>
      <c r="Q33" s="32">
        <f t="shared" si="1"/>
        <v>16457</v>
      </c>
      <c r="R33" s="32">
        <f ca="1" t="shared" si="4"/>
        <v>1</v>
      </c>
      <c r="S33" s="32" t="str">
        <f t="shared" si="5"/>
        <v>Eligible</v>
      </c>
      <c r="T33" s="32" t="str">
        <f ca="1" t="shared" si="2"/>
        <v>Not Eligible</v>
      </c>
      <c r="U33" s="32" t="str">
        <f t="shared" si="3"/>
        <v>Excellent</v>
      </c>
    </row>
    <row r="34" spans="1:26">
      <c r="A34" s="28" t="s">
        <v>138</v>
      </c>
      <c r="B34" s="28" t="s">
        <v>139</v>
      </c>
      <c r="C34" s="28" t="s">
        <v>66</v>
      </c>
      <c r="D34" s="28" t="s">
        <v>67</v>
      </c>
      <c r="E34" s="29">
        <v>45257</v>
      </c>
      <c r="F34" s="28">
        <v>35000</v>
      </c>
      <c r="G34" s="28">
        <v>1500</v>
      </c>
      <c r="H34" s="28">
        <v>1000</v>
      </c>
      <c r="I34" s="28">
        <v>26</v>
      </c>
      <c r="J34" s="28">
        <v>20</v>
      </c>
      <c r="K34" s="28">
        <v>137000</v>
      </c>
      <c r="L34" s="28">
        <v>144524</v>
      </c>
      <c r="M34" s="28" t="s">
        <v>34</v>
      </c>
      <c r="N34" s="28" t="s">
        <v>140</v>
      </c>
      <c r="O34" s="30">
        <f t="shared" ref="O34:O65" si="8">SUM(F34:H34)</f>
        <v>37500</v>
      </c>
      <c r="P34" s="31">
        <f t="shared" si="7"/>
        <v>0.769230769230769</v>
      </c>
      <c r="Q34" s="32">
        <f t="shared" ref="Q34:Q65" si="9">L34-K34</f>
        <v>7524</v>
      </c>
      <c r="R34" s="32">
        <f ca="1" t="shared" ref="R34:R65" si="10">DATEDIF(E34,TODAY(),"Y")</f>
        <v>2</v>
      </c>
      <c r="S34" s="32" t="str">
        <f t="shared" ref="S34:S65" si="11">IF(AND(L34&gt;K34,F34&gt;60000),"Eligible","Not Eligible")</f>
        <v>Not Eligible</v>
      </c>
      <c r="T34" s="32" t="str">
        <f ca="1" t="shared" ref="T34:T65" si="12">IF(AND(R34&gt;=5,M34="Achieved"),"Eligible","Not Eligible")</f>
        <v>Not Eligible</v>
      </c>
      <c r="U34" s="32" t="str">
        <f t="shared" ref="U34:U65" si="13">IF(AND(M34="Achieved",P34&gt;=95%),"Excellent",IF(M34="Achieved","Good","Need Improvement"))</f>
        <v>Good</v>
      </c>
    </row>
    <row r="35" spans="1:26">
      <c r="A35" s="28" t="s">
        <v>141</v>
      </c>
      <c r="B35" s="28" t="s">
        <v>142</v>
      </c>
      <c r="C35" s="28" t="s">
        <v>23</v>
      </c>
      <c r="D35" s="28" t="s">
        <v>24</v>
      </c>
      <c r="E35" s="29">
        <v>44028</v>
      </c>
      <c r="F35" s="28">
        <v>54000</v>
      </c>
      <c r="G35" s="28">
        <v>2500</v>
      </c>
      <c r="H35" s="28">
        <v>1000</v>
      </c>
      <c r="I35" s="28">
        <v>26</v>
      </c>
      <c r="J35" s="28">
        <v>26</v>
      </c>
      <c r="K35" s="28">
        <v>108000</v>
      </c>
      <c r="L35" s="28">
        <v>100782</v>
      </c>
      <c r="M35" s="28" t="s">
        <v>25</v>
      </c>
      <c r="N35" s="28" t="s">
        <v>143</v>
      </c>
      <c r="O35" s="30">
        <f t="shared" si="8"/>
        <v>57500</v>
      </c>
      <c r="P35" s="31">
        <f t="shared" si="7"/>
        <v>1</v>
      </c>
      <c r="Q35" s="32">
        <f t="shared" si="9"/>
        <v>-7218</v>
      </c>
      <c r="R35" s="32">
        <f ca="1" t="shared" si="10"/>
        <v>6</v>
      </c>
      <c r="S35" s="32" t="str">
        <f t="shared" si="11"/>
        <v>Not Eligible</v>
      </c>
      <c r="T35" s="32" t="str">
        <f ca="1" t="shared" si="12"/>
        <v>Not Eligible</v>
      </c>
      <c r="U35" s="32" t="str">
        <f t="shared" si="13"/>
        <v>Need Improvement</v>
      </c>
    </row>
    <row r="36" spans="1:26">
      <c r="A36" s="28" t="s">
        <v>144</v>
      </c>
      <c r="B36" s="28" t="s">
        <v>145</v>
      </c>
      <c r="C36" s="28" t="s">
        <v>39</v>
      </c>
      <c r="D36" s="28" t="s">
        <v>40</v>
      </c>
      <c r="E36" s="29">
        <v>45396</v>
      </c>
      <c r="F36" s="28">
        <v>34000</v>
      </c>
      <c r="G36" s="28">
        <v>1500</v>
      </c>
      <c r="H36" s="28">
        <v>1500</v>
      </c>
      <c r="I36" s="28">
        <v>26</v>
      </c>
      <c r="J36" s="28">
        <v>22</v>
      </c>
      <c r="K36" s="28">
        <v>131000</v>
      </c>
      <c r="L36" s="28">
        <v>138706</v>
      </c>
      <c r="M36" s="28" t="s">
        <v>34</v>
      </c>
      <c r="N36" s="28" t="s">
        <v>146</v>
      </c>
      <c r="O36" s="30">
        <f t="shared" si="8"/>
        <v>37000</v>
      </c>
      <c r="P36" s="31">
        <f t="shared" si="7"/>
        <v>0.846153846153846</v>
      </c>
      <c r="Q36" s="32">
        <f t="shared" si="9"/>
        <v>7706</v>
      </c>
      <c r="R36" s="32">
        <f ca="1" t="shared" si="10"/>
        <v>2</v>
      </c>
      <c r="S36" s="32" t="str">
        <f t="shared" si="11"/>
        <v>Not Eligible</v>
      </c>
      <c r="T36" s="32" t="str">
        <f ca="1" t="shared" si="12"/>
        <v>Not Eligible</v>
      </c>
      <c r="U36" s="32" t="str">
        <f t="shared" si="13"/>
        <v>Good</v>
      </c>
      <c r="X36" s="55" t="s">
        <v>147</v>
      </c>
      <c r="Y36" s="55"/>
    </row>
    <row r="37" spans="1:26">
      <c r="A37" s="28" t="s">
        <v>148</v>
      </c>
      <c r="B37" s="28" t="s">
        <v>131</v>
      </c>
      <c r="C37" s="28" t="s">
        <v>39</v>
      </c>
      <c r="D37" s="28" t="s">
        <v>40</v>
      </c>
      <c r="E37" s="29">
        <v>45994</v>
      </c>
      <c r="F37" s="28">
        <v>45000</v>
      </c>
      <c r="G37" s="28">
        <v>4500</v>
      </c>
      <c r="H37" s="28">
        <v>2500</v>
      </c>
      <c r="I37" s="28">
        <v>26</v>
      </c>
      <c r="J37" s="28">
        <v>21</v>
      </c>
      <c r="K37" s="28">
        <v>97000</v>
      </c>
      <c r="L37" s="28">
        <v>91252</v>
      </c>
      <c r="M37" s="28" t="s">
        <v>25</v>
      </c>
      <c r="N37" s="28" t="s">
        <v>132</v>
      </c>
      <c r="O37" s="30">
        <f t="shared" si="8"/>
        <v>52000</v>
      </c>
      <c r="P37" s="31">
        <f t="shared" si="7"/>
        <v>0.807692307692308</v>
      </c>
      <c r="Q37" s="32">
        <f t="shared" si="9"/>
        <v>-5748</v>
      </c>
      <c r="R37" s="32">
        <f ca="1" t="shared" si="10"/>
        <v>0</v>
      </c>
      <c r="S37" s="32" t="str">
        <f t="shared" si="11"/>
        <v>Not Eligible</v>
      </c>
      <c r="T37" s="32" t="str">
        <f ca="1" t="shared" si="12"/>
        <v>Not Eligible</v>
      </c>
      <c r="U37" s="32" t="str">
        <f t="shared" si="13"/>
        <v>Need Improvement</v>
      </c>
      <c r="W37" s="56" t="s">
        <v>105</v>
      </c>
      <c r="X37" s="56" t="s">
        <v>106</v>
      </c>
      <c r="Y37" s="56" t="s">
        <v>2</v>
      </c>
      <c r="Z37" s="56" t="s">
        <v>107</v>
      </c>
    </row>
    <row r="38" spans="1:26">
      <c r="A38" s="28" t="s">
        <v>149</v>
      </c>
      <c r="B38" s="28" t="s">
        <v>150</v>
      </c>
      <c r="C38" s="28" t="s">
        <v>53</v>
      </c>
      <c r="D38" s="28" t="s">
        <v>40</v>
      </c>
      <c r="E38" s="29">
        <v>43876</v>
      </c>
      <c r="F38" s="28">
        <v>43000</v>
      </c>
      <c r="G38" s="28">
        <v>5000</v>
      </c>
      <c r="H38" s="28">
        <v>4000</v>
      </c>
      <c r="I38" s="28">
        <v>26</v>
      </c>
      <c r="J38" s="28">
        <v>24</v>
      </c>
      <c r="K38" s="28">
        <v>84000</v>
      </c>
      <c r="L38" s="28">
        <v>91708</v>
      </c>
      <c r="M38" s="28" t="s">
        <v>34</v>
      </c>
      <c r="N38" s="28" t="s">
        <v>151</v>
      </c>
      <c r="O38" s="30">
        <f t="shared" si="8"/>
        <v>52000</v>
      </c>
      <c r="P38" s="31">
        <f t="shared" si="7"/>
        <v>0.923076923076923</v>
      </c>
      <c r="Q38" s="32">
        <f t="shared" si="9"/>
        <v>7708</v>
      </c>
      <c r="R38" s="32">
        <f ca="1" t="shared" si="10"/>
        <v>6</v>
      </c>
      <c r="S38" s="32" t="str">
        <f t="shared" si="11"/>
        <v>Not Eligible</v>
      </c>
      <c r="T38" s="32" t="str">
        <f ca="1" t="shared" si="12"/>
        <v>Eligible</v>
      </c>
      <c r="U38" s="32" t="str">
        <f t="shared" si="13"/>
        <v>Good</v>
      </c>
      <c r="W38" s="53" t="s">
        <v>138</v>
      </c>
      <c r="X38" s="53" t="str">
        <f>_xlfn.XLOOKUP(W38,A2:A101,B2:B101)</f>
        <v>Farhan Karim</v>
      </c>
      <c r="Y38" s="53" t="str">
        <f>_xlfn.XLOOKUP(W38,A2:A101,C2:C101)</f>
        <v>Finance</v>
      </c>
      <c r="Z38" s="53">
        <f>_xlfn.XLOOKUP(W38,A2:A101,F2:F101)</f>
        <v>35000</v>
      </c>
    </row>
    <row r="39" spans="1:26">
      <c r="A39" s="28" t="s">
        <v>152</v>
      </c>
      <c r="B39" s="28" t="s">
        <v>125</v>
      </c>
      <c r="C39" s="28" t="s">
        <v>39</v>
      </c>
      <c r="D39" s="28" t="s">
        <v>40</v>
      </c>
      <c r="E39" s="29">
        <v>44343</v>
      </c>
      <c r="F39" s="28">
        <v>39000</v>
      </c>
      <c r="G39" s="28">
        <v>3500</v>
      </c>
      <c r="H39" s="28">
        <v>2000</v>
      </c>
      <c r="I39" s="28">
        <v>26</v>
      </c>
      <c r="J39" s="28">
        <v>26</v>
      </c>
      <c r="K39" s="28">
        <v>125000</v>
      </c>
      <c r="L39" s="28">
        <v>131730</v>
      </c>
      <c r="M39" s="28" t="s">
        <v>34</v>
      </c>
      <c r="N39" s="28" t="s">
        <v>126</v>
      </c>
      <c r="O39" s="30">
        <f t="shared" si="8"/>
        <v>44500</v>
      </c>
      <c r="P39" s="31">
        <f t="shared" si="7"/>
        <v>1</v>
      </c>
      <c r="Q39" s="32">
        <f t="shared" si="9"/>
        <v>6730</v>
      </c>
      <c r="R39" s="32">
        <f ca="1" t="shared" si="10"/>
        <v>5</v>
      </c>
      <c r="S39" s="32" t="str">
        <f t="shared" si="11"/>
        <v>Not Eligible</v>
      </c>
      <c r="T39" s="32" t="str">
        <f ca="1" t="shared" si="12"/>
        <v>Eligible</v>
      </c>
      <c r="U39" s="32" t="str">
        <f t="shared" si="13"/>
        <v>Excellent</v>
      </c>
    </row>
    <row r="40" spans="1:26">
      <c r="A40" s="28" t="s">
        <v>153</v>
      </c>
      <c r="B40" s="28" t="s">
        <v>87</v>
      </c>
      <c r="C40" s="28" t="s">
        <v>53</v>
      </c>
      <c r="D40" s="28" t="s">
        <v>40</v>
      </c>
      <c r="E40" s="29">
        <v>43995</v>
      </c>
      <c r="F40" s="28">
        <v>54000</v>
      </c>
      <c r="G40" s="28">
        <v>5000</v>
      </c>
      <c r="H40" s="28">
        <v>4000</v>
      </c>
      <c r="I40" s="28">
        <v>26</v>
      </c>
      <c r="J40" s="28">
        <v>22</v>
      </c>
      <c r="K40" s="28">
        <v>98000</v>
      </c>
      <c r="L40" s="28">
        <v>88165</v>
      </c>
      <c r="M40" s="28" t="s">
        <v>25</v>
      </c>
      <c r="N40" s="28" t="s">
        <v>88</v>
      </c>
      <c r="O40" s="30">
        <f t="shared" si="8"/>
        <v>63000</v>
      </c>
      <c r="P40" s="31">
        <f t="shared" si="7"/>
        <v>0.846153846153846</v>
      </c>
      <c r="Q40" s="32">
        <f t="shared" si="9"/>
        <v>-9835</v>
      </c>
      <c r="R40" s="32">
        <f ca="1" t="shared" si="10"/>
        <v>6</v>
      </c>
      <c r="S40" s="32" t="str">
        <f t="shared" si="11"/>
        <v>Not Eligible</v>
      </c>
      <c r="T40" s="32" t="str">
        <f ca="1" t="shared" si="12"/>
        <v>Not Eligible</v>
      </c>
      <c r="U40" s="32" t="str">
        <f t="shared" si="13"/>
        <v>Need Improvement</v>
      </c>
    </row>
    <row r="41" spans="1:26">
      <c r="A41" s="28" t="s">
        <v>154</v>
      </c>
      <c r="B41" s="28" t="s">
        <v>155</v>
      </c>
      <c r="C41" s="28" t="s">
        <v>53</v>
      </c>
      <c r="D41" s="28" t="s">
        <v>40</v>
      </c>
      <c r="E41" s="29">
        <v>44776</v>
      </c>
      <c r="F41" s="28">
        <v>44000</v>
      </c>
      <c r="G41" s="28">
        <v>3000</v>
      </c>
      <c r="H41" s="28">
        <v>3000</v>
      </c>
      <c r="I41" s="28">
        <v>26</v>
      </c>
      <c r="J41" s="28">
        <v>21</v>
      </c>
      <c r="K41" s="28">
        <v>117000</v>
      </c>
      <c r="L41" s="28">
        <v>128845</v>
      </c>
      <c r="M41" s="28" t="s">
        <v>34</v>
      </c>
      <c r="N41" s="28" t="s">
        <v>156</v>
      </c>
      <c r="O41" s="30">
        <f t="shared" si="8"/>
        <v>50000</v>
      </c>
      <c r="P41" s="31">
        <f t="shared" si="7"/>
        <v>0.807692307692308</v>
      </c>
      <c r="Q41" s="32">
        <f t="shared" si="9"/>
        <v>11845</v>
      </c>
      <c r="R41" s="32">
        <f ca="1" t="shared" si="10"/>
        <v>3</v>
      </c>
      <c r="S41" s="32" t="str">
        <f t="shared" si="11"/>
        <v>Not Eligible</v>
      </c>
      <c r="T41" s="32" t="str">
        <f ca="1" t="shared" si="12"/>
        <v>Not Eligible</v>
      </c>
      <c r="U41" s="32" t="str">
        <f t="shared" si="13"/>
        <v>Good</v>
      </c>
      <c r="X41" s="51" t="s">
        <v>157</v>
      </c>
      <c r="Y41" s="51"/>
    </row>
    <row r="42" spans="1:26">
      <c r="A42" s="28" t="s">
        <v>158</v>
      </c>
      <c r="B42" s="28" t="s">
        <v>159</v>
      </c>
      <c r="C42" s="28" t="s">
        <v>29</v>
      </c>
      <c r="D42" s="28" t="s">
        <v>30</v>
      </c>
      <c r="E42" s="29">
        <v>44823</v>
      </c>
      <c r="F42" s="28">
        <v>37000</v>
      </c>
      <c r="G42" s="28">
        <v>4000</v>
      </c>
      <c r="H42" s="28">
        <v>1500</v>
      </c>
      <c r="I42" s="28">
        <v>26</v>
      </c>
      <c r="J42" s="28">
        <v>21</v>
      </c>
      <c r="K42" s="28">
        <v>120000</v>
      </c>
      <c r="L42" s="28">
        <v>130376</v>
      </c>
      <c r="M42" s="28" t="s">
        <v>34</v>
      </c>
      <c r="N42" s="28" t="s">
        <v>160</v>
      </c>
      <c r="O42" s="30">
        <f t="shared" si="8"/>
        <v>42500</v>
      </c>
      <c r="P42" s="31">
        <f t="shared" ref="P42:P73" si="14">J42/I42</f>
        <v>0.807692307692308</v>
      </c>
      <c r="Q42" s="32">
        <f t="shared" si="9"/>
        <v>10376</v>
      </c>
      <c r="R42" s="32">
        <f ca="1" t="shared" si="10"/>
        <v>3</v>
      </c>
      <c r="S42" s="32" t="str">
        <f t="shared" si="11"/>
        <v>Not Eligible</v>
      </c>
      <c r="T42" s="32" t="str">
        <f ca="1" t="shared" si="12"/>
        <v>Not Eligible</v>
      </c>
      <c r="U42" s="32" t="str">
        <f t="shared" si="13"/>
        <v>Good</v>
      </c>
      <c r="W42" s="57" t="s">
        <v>105</v>
      </c>
      <c r="X42" s="57" t="s">
        <v>106</v>
      </c>
      <c r="Y42" s="57" t="s">
        <v>2</v>
      </c>
      <c r="Z42" s="57" t="s">
        <v>107</v>
      </c>
    </row>
    <row r="43" spans="1:26">
      <c r="A43" s="28" t="s">
        <v>161</v>
      </c>
      <c r="B43" s="28" t="s">
        <v>162</v>
      </c>
      <c r="C43" s="28" t="s">
        <v>29</v>
      </c>
      <c r="D43" s="28" t="s">
        <v>30</v>
      </c>
      <c r="E43" s="29">
        <v>45411</v>
      </c>
      <c r="F43" s="28">
        <v>67000</v>
      </c>
      <c r="G43" s="28">
        <v>4000</v>
      </c>
      <c r="H43" s="28">
        <v>3500</v>
      </c>
      <c r="I43" s="28">
        <v>26</v>
      </c>
      <c r="J43" s="28">
        <v>22</v>
      </c>
      <c r="K43" s="28">
        <v>108000</v>
      </c>
      <c r="L43" s="28">
        <v>92012</v>
      </c>
      <c r="M43" s="28" t="s">
        <v>25</v>
      </c>
      <c r="N43" s="28" t="s">
        <v>163</v>
      </c>
      <c r="O43" s="30">
        <f t="shared" si="8"/>
        <v>74500</v>
      </c>
      <c r="P43" s="31">
        <f t="shared" si="14"/>
        <v>0.846153846153846</v>
      </c>
      <c r="Q43" s="32">
        <f t="shared" si="9"/>
        <v>-15988</v>
      </c>
      <c r="R43" s="32">
        <f ca="1" t="shared" si="10"/>
        <v>2</v>
      </c>
      <c r="S43" s="32" t="str">
        <f t="shared" si="11"/>
        <v>Not Eligible</v>
      </c>
      <c r="T43" s="32" t="str">
        <f ca="1" t="shared" si="12"/>
        <v>Not Eligible</v>
      </c>
      <c r="U43" s="32" t="str">
        <f t="shared" si="13"/>
        <v>Need Improvement</v>
      </c>
      <c r="W43" s="53" t="s">
        <v>108</v>
      </c>
      <c r="X43" s="53" t="str" cm="1">
        <f t="array" ref="X43">INDEX(B2:B101,MATCH(W43,A2:A101,0))</f>
        <v>Rakib Rahman</v>
      </c>
      <c r="Y43" s="53" t="str" cm="1">
        <f t="array" ref="Y43">INDEX(C2:C101,MATCH(W43,A2:A101,0))</f>
        <v>HR</v>
      </c>
      <c r="Z43" s="53" cm="1">
        <f t="array" ref="Z43">INDEX(F37:F101,MATCH(W43,A2:A101,0))</f>
        <v>62000</v>
      </c>
    </row>
    <row r="44" spans="1:26">
      <c r="A44" s="28" t="s">
        <v>164</v>
      </c>
      <c r="B44" s="28" t="s">
        <v>57</v>
      </c>
      <c r="C44" s="28" t="s">
        <v>39</v>
      </c>
      <c r="D44" s="28" t="s">
        <v>40</v>
      </c>
      <c r="E44" s="29">
        <v>45731</v>
      </c>
      <c r="F44" s="28">
        <v>61000</v>
      </c>
      <c r="G44" s="28">
        <v>5000</v>
      </c>
      <c r="H44" s="28">
        <v>2000</v>
      </c>
      <c r="I44" s="28">
        <v>26</v>
      </c>
      <c r="J44" s="28">
        <v>23</v>
      </c>
      <c r="K44" s="28">
        <v>119000</v>
      </c>
      <c r="L44" s="28">
        <v>105014</v>
      </c>
      <c r="M44" s="28" t="s">
        <v>25</v>
      </c>
      <c r="N44" s="28" t="s">
        <v>58</v>
      </c>
      <c r="O44" s="30">
        <f t="shared" si="8"/>
        <v>68000</v>
      </c>
      <c r="P44" s="31">
        <f t="shared" si="14"/>
        <v>0.884615384615385</v>
      </c>
      <c r="Q44" s="32">
        <f t="shared" si="9"/>
        <v>-13986</v>
      </c>
      <c r="R44" s="32">
        <f ca="1" t="shared" si="10"/>
        <v>1</v>
      </c>
      <c r="S44" s="32" t="str">
        <f t="shared" si="11"/>
        <v>Not Eligible</v>
      </c>
      <c r="T44" s="32" t="str">
        <f ca="1" t="shared" si="12"/>
        <v>Not Eligible</v>
      </c>
      <c r="U44" s="32" t="str">
        <f t="shared" si="13"/>
        <v>Need Improvement</v>
      </c>
    </row>
    <row r="45" spans="1:26">
      <c r="A45" s="28" t="s">
        <v>165</v>
      </c>
      <c r="B45" s="28" t="s">
        <v>33</v>
      </c>
      <c r="C45" s="28" t="s">
        <v>53</v>
      </c>
      <c r="D45" s="28" t="s">
        <v>40</v>
      </c>
      <c r="E45" s="29">
        <v>44375</v>
      </c>
      <c r="F45" s="28">
        <v>58000</v>
      </c>
      <c r="G45" s="28">
        <v>4000</v>
      </c>
      <c r="H45" s="28">
        <v>500</v>
      </c>
      <c r="I45" s="28">
        <v>26</v>
      </c>
      <c r="J45" s="28">
        <v>24</v>
      </c>
      <c r="K45" s="28">
        <v>145000</v>
      </c>
      <c r="L45" s="28">
        <v>135845</v>
      </c>
      <c r="M45" s="28" t="s">
        <v>25</v>
      </c>
      <c r="N45" s="28" t="s">
        <v>35</v>
      </c>
      <c r="O45" s="30">
        <f t="shared" si="8"/>
        <v>62500</v>
      </c>
      <c r="P45" s="31">
        <f t="shared" si="14"/>
        <v>0.923076923076923</v>
      </c>
      <c r="Q45" s="32">
        <f t="shared" si="9"/>
        <v>-9155</v>
      </c>
      <c r="R45" s="32">
        <f ca="1" t="shared" si="10"/>
        <v>5</v>
      </c>
      <c r="S45" s="32" t="str">
        <f t="shared" si="11"/>
        <v>Not Eligible</v>
      </c>
      <c r="T45" s="32" t="str">
        <f ca="1" t="shared" si="12"/>
        <v>Not Eligible</v>
      </c>
      <c r="U45" s="32" t="str">
        <f t="shared" si="13"/>
        <v>Need Improvement</v>
      </c>
    </row>
    <row r="46" spans="1:26">
      <c r="A46" s="28" t="s">
        <v>166</v>
      </c>
      <c r="B46" s="28" t="s">
        <v>167</v>
      </c>
      <c r="C46" s="28" t="s">
        <v>39</v>
      </c>
      <c r="D46" s="28" t="s">
        <v>40</v>
      </c>
      <c r="E46" s="29">
        <v>45464</v>
      </c>
      <c r="F46" s="28">
        <v>70000</v>
      </c>
      <c r="G46" s="28">
        <v>1500</v>
      </c>
      <c r="H46" s="28">
        <v>1000</v>
      </c>
      <c r="I46" s="28">
        <v>26</v>
      </c>
      <c r="J46" s="28">
        <v>20</v>
      </c>
      <c r="K46" s="28">
        <v>95000</v>
      </c>
      <c r="L46" s="28">
        <v>90935</v>
      </c>
      <c r="M46" s="28" t="s">
        <v>25</v>
      </c>
      <c r="N46" s="28" t="s">
        <v>168</v>
      </c>
      <c r="O46" s="30">
        <f t="shared" si="8"/>
        <v>72500</v>
      </c>
      <c r="P46" s="31">
        <f t="shared" si="14"/>
        <v>0.769230769230769</v>
      </c>
      <c r="Q46" s="32">
        <f t="shared" si="9"/>
        <v>-4065</v>
      </c>
      <c r="R46" s="32">
        <f ca="1" t="shared" si="10"/>
        <v>2</v>
      </c>
      <c r="S46" s="32" t="str">
        <f t="shared" si="11"/>
        <v>Not Eligible</v>
      </c>
      <c r="T46" s="32" t="str">
        <f ca="1" t="shared" si="12"/>
        <v>Not Eligible</v>
      </c>
      <c r="U46" s="32" t="str">
        <f t="shared" si="13"/>
        <v>Need Improvement</v>
      </c>
    </row>
    <row r="47" spans="1:26">
      <c r="A47" s="28" t="s">
        <v>169</v>
      </c>
      <c r="B47" s="28" t="s">
        <v>125</v>
      </c>
      <c r="C47" s="28" t="s">
        <v>53</v>
      </c>
      <c r="D47" s="28" t="s">
        <v>40</v>
      </c>
      <c r="E47" s="29">
        <v>45476</v>
      </c>
      <c r="F47" s="28">
        <v>78000</v>
      </c>
      <c r="G47" s="28">
        <v>1500</v>
      </c>
      <c r="H47" s="28">
        <v>2000</v>
      </c>
      <c r="I47" s="28">
        <v>26</v>
      </c>
      <c r="J47" s="28">
        <v>24</v>
      </c>
      <c r="K47" s="28">
        <v>114000</v>
      </c>
      <c r="L47" s="28">
        <v>127696</v>
      </c>
      <c r="M47" s="28" t="s">
        <v>34</v>
      </c>
      <c r="N47" s="28" t="s">
        <v>126</v>
      </c>
      <c r="O47" s="30">
        <f t="shared" si="8"/>
        <v>81500</v>
      </c>
      <c r="P47" s="31">
        <f t="shared" si="14"/>
        <v>0.923076923076923</v>
      </c>
      <c r="Q47" s="32">
        <f t="shared" si="9"/>
        <v>13696</v>
      </c>
      <c r="R47" s="32">
        <f ca="1" t="shared" si="10"/>
        <v>2</v>
      </c>
      <c r="S47" s="32" t="str">
        <f t="shared" si="11"/>
        <v>Eligible</v>
      </c>
      <c r="T47" s="32" t="str">
        <f ca="1" t="shared" si="12"/>
        <v>Not Eligible</v>
      </c>
      <c r="U47" s="32" t="str">
        <f t="shared" si="13"/>
        <v>Good</v>
      </c>
    </row>
    <row r="48" spans="1:26">
      <c r="A48" s="28" t="s">
        <v>170</v>
      </c>
      <c r="B48" s="28" t="s">
        <v>171</v>
      </c>
      <c r="C48" s="28" t="s">
        <v>53</v>
      </c>
      <c r="D48" s="28" t="s">
        <v>40</v>
      </c>
      <c r="E48" s="29">
        <v>45929</v>
      </c>
      <c r="F48" s="28">
        <v>49000</v>
      </c>
      <c r="G48" s="28">
        <v>5000</v>
      </c>
      <c r="H48" s="28">
        <v>2500</v>
      </c>
      <c r="I48" s="28">
        <v>26</v>
      </c>
      <c r="J48" s="28">
        <v>22</v>
      </c>
      <c r="K48" s="28">
        <v>107000</v>
      </c>
      <c r="L48" s="28">
        <v>114411</v>
      </c>
      <c r="M48" s="28" t="s">
        <v>34</v>
      </c>
      <c r="N48" s="28" t="s">
        <v>172</v>
      </c>
      <c r="O48" s="30">
        <f t="shared" si="8"/>
        <v>56500</v>
      </c>
      <c r="P48" s="31">
        <f t="shared" si="14"/>
        <v>0.846153846153846</v>
      </c>
      <c r="Q48" s="32">
        <f t="shared" si="9"/>
        <v>7411</v>
      </c>
      <c r="R48" s="32">
        <f ca="1" t="shared" si="10"/>
        <v>0</v>
      </c>
      <c r="S48" s="32" t="str">
        <f t="shared" si="11"/>
        <v>Not Eligible</v>
      </c>
      <c r="T48" s="32" t="str">
        <f ca="1" t="shared" si="12"/>
        <v>Not Eligible</v>
      </c>
      <c r="U48" s="32" t="str">
        <f t="shared" si="13"/>
        <v>Good</v>
      </c>
    </row>
    <row r="49" spans="1:21">
      <c r="A49" s="28" t="s">
        <v>173</v>
      </c>
      <c r="B49" s="28" t="s">
        <v>174</v>
      </c>
      <c r="C49" s="28" t="s">
        <v>23</v>
      </c>
      <c r="D49" s="28" t="s">
        <v>24</v>
      </c>
      <c r="E49" s="29">
        <v>45059</v>
      </c>
      <c r="F49" s="28">
        <v>52000</v>
      </c>
      <c r="G49" s="28">
        <v>4000</v>
      </c>
      <c r="H49" s="28">
        <v>3000</v>
      </c>
      <c r="I49" s="28">
        <v>26</v>
      </c>
      <c r="J49" s="28">
        <v>24</v>
      </c>
      <c r="K49" s="28">
        <v>110000</v>
      </c>
      <c r="L49" s="28">
        <v>106186</v>
      </c>
      <c r="M49" s="28" t="s">
        <v>25</v>
      </c>
      <c r="N49" s="28" t="s">
        <v>175</v>
      </c>
      <c r="O49" s="30">
        <f t="shared" si="8"/>
        <v>59000</v>
      </c>
      <c r="P49" s="31">
        <f t="shared" si="14"/>
        <v>0.923076923076923</v>
      </c>
      <c r="Q49" s="32">
        <f t="shared" si="9"/>
        <v>-3814</v>
      </c>
      <c r="R49" s="32">
        <f ca="1" t="shared" si="10"/>
        <v>3</v>
      </c>
      <c r="S49" s="32" t="str">
        <f t="shared" si="11"/>
        <v>Not Eligible</v>
      </c>
      <c r="T49" s="32" t="str">
        <f ca="1" t="shared" si="12"/>
        <v>Not Eligible</v>
      </c>
      <c r="U49" s="32" t="str">
        <f t="shared" si="13"/>
        <v>Need Improvement</v>
      </c>
    </row>
    <row r="50" spans="1:21">
      <c r="A50" s="28" t="s">
        <v>176</v>
      </c>
      <c r="B50" s="28" t="s">
        <v>177</v>
      </c>
      <c r="C50" s="28" t="s">
        <v>66</v>
      </c>
      <c r="D50" s="28" t="s">
        <v>67</v>
      </c>
      <c r="E50" s="29">
        <v>45841</v>
      </c>
      <c r="F50" s="28">
        <v>52000</v>
      </c>
      <c r="G50" s="28">
        <v>2500</v>
      </c>
      <c r="H50" s="28">
        <v>2000</v>
      </c>
      <c r="I50" s="28">
        <v>26</v>
      </c>
      <c r="J50" s="28">
        <v>21</v>
      </c>
      <c r="K50" s="28">
        <v>130000</v>
      </c>
      <c r="L50" s="28">
        <v>148789</v>
      </c>
      <c r="M50" s="28" t="s">
        <v>34</v>
      </c>
      <c r="N50" s="28" t="s">
        <v>178</v>
      </c>
      <c r="O50" s="30">
        <f t="shared" si="8"/>
        <v>56500</v>
      </c>
      <c r="P50" s="31">
        <f t="shared" si="14"/>
        <v>0.807692307692308</v>
      </c>
      <c r="Q50" s="32">
        <f t="shared" si="9"/>
        <v>18789</v>
      </c>
      <c r="R50" s="32">
        <f ca="1" t="shared" si="10"/>
        <v>1</v>
      </c>
      <c r="S50" s="32" t="str">
        <f t="shared" si="11"/>
        <v>Not Eligible</v>
      </c>
      <c r="T50" s="32" t="str">
        <f ca="1" t="shared" si="12"/>
        <v>Not Eligible</v>
      </c>
      <c r="U50" s="32" t="str">
        <f t="shared" si="13"/>
        <v>Good</v>
      </c>
    </row>
    <row r="51" spans="1:21">
      <c r="A51" s="28" t="s">
        <v>179</v>
      </c>
      <c r="B51" s="28" t="s">
        <v>180</v>
      </c>
      <c r="C51" s="28" t="s">
        <v>53</v>
      </c>
      <c r="D51" s="28" t="s">
        <v>40</v>
      </c>
      <c r="E51" s="29">
        <v>45267</v>
      </c>
      <c r="F51" s="28">
        <v>32000</v>
      </c>
      <c r="G51" s="28">
        <v>3000</v>
      </c>
      <c r="H51" s="28">
        <v>4000</v>
      </c>
      <c r="I51" s="28">
        <v>26</v>
      </c>
      <c r="J51" s="28">
        <v>22</v>
      </c>
      <c r="K51" s="28">
        <v>82000</v>
      </c>
      <c r="L51" s="28">
        <v>86726</v>
      </c>
      <c r="M51" s="28" t="s">
        <v>34</v>
      </c>
      <c r="N51" s="28" t="s">
        <v>181</v>
      </c>
      <c r="O51" s="30">
        <f t="shared" si="8"/>
        <v>39000</v>
      </c>
      <c r="P51" s="31">
        <f t="shared" si="14"/>
        <v>0.846153846153846</v>
      </c>
      <c r="Q51" s="32">
        <f t="shared" si="9"/>
        <v>4726</v>
      </c>
      <c r="R51" s="32">
        <f ca="1" t="shared" si="10"/>
        <v>2</v>
      </c>
      <c r="S51" s="32" t="str">
        <f t="shared" si="11"/>
        <v>Not Eligible</v>
      </c>
      <c r="T51" s="32" t="str">
        <f ca="1" t="shared" si="12"/>
        <v>Not Eligible</v>
      </c>
      <c r="U51" s="32" t="str">
        <f t="shared" si="13"/>
        <v>Good</v>
      </c>
    </row>
    <row r="52" spans="1:21">
      <c r="A52" s="28" t="s">
        <v>182</v>
      </c>
      <c r="B52" s="28" t="s">
        <v>183</v>
      </c>
      <c r="C52" s="28" t="s">
        <v>66</v>
      </c>
      <c r="D52" s="28" t="s">
        <v>67</v>
      </c>
      <c r="E52" s="29">
        <v>45043</v>
      </c>
      <c r="F52" s="28">
        <v>34000</v>
      </c>
      <c r="G52" s="28">
        <v>4500</v>
      </c>
      <c r="H52" s="28">
        <v>3500</v>
      </c>
      <c r="I52" s="28">
        <v>26</v>
      </c>
      <c r="J52" s="28">
        <v>25</v>
      </c>
      <c r="K52" s="28">
        <v>132000</v>
      </c>
      <c r="L52" s="28">
        <v>126318</v>
      </c>
      <c r="M52" s="28" t="s">
        <v>25</v>
      </c>
      <c r="N52" s="28" t="s">
        <v>184</v>
      </c>
      <c r="O52" s="30">
        <f t="shared" si="8"/>
        <v>42000</v>
      </c>
      <c r="P52" s="31">
        <f t="shared" si="14"/>
        <v>0.961538461538462</v>
      </c>
      <c r="Q52" s="32">
        <f t="shared" si="9"/>
        <v>-5682</v>
      </c>
      <c r="R52" s="32">
        <f ca="1" t="shared" si="10"/>
        <v>3</v>
      </c>
      <c r="S52" s="32" t="str">
        <f t="shared" si="11"/>
        <v>Not Eligible</v>
      </c>
      <c r="T52" s="32" t="str">
        <f ca="1" t="shared" si="12"/>
        <v>Not Eligible</v>
      </c>
      <c r="U52" s="32" t="str">
        <f t="shared" si="13"/>
        <v>Need Improvement</v>
      </c>
    </row>
    <row r="53" spans="1:21">
      <c r="A53" s="28" t="s">
        <v>185</v>
      </c>
      <c r="B53" s="28" t="s">
        <v>186</v>
      </c>
      <c r="C53" s="28" t="s">
        <v>23</v>
      </c>
      <c r="D53" s="28" t="s">
        <v>24</v>
      </c>
      <c r="E53" s="29">
        <v>44473</v>
      </c>
      <c r="F53" s="28">
        <v>36000</v>
      </c>
      <c r="G53" s="28">
        <v>5000</v>
      </c>
      <c r="H53" s="28">
        <v>3000</v>
      </c>
      <c r="I53" s="28">
        <v>26</v>
      </c>
      <c r="J53" s="28">
        <v>26</v>
      </c>
      <c r="K53" s="28">
        <v>115000</v>
      </c>
      <c r="L53" s="28">
        <v>130216</v>
      </c>
      <c r="M53" s="28" t="s">
        <v>34</v>
      </c>
      <c r="N53" s="28" t="s">
        <v>187</v>
      </c>
      <c r="O53" s="30">
        <f t="shared" si="8"/>
        <v>44000</v>
      </c>
      <c r="P53" s="31">
        <f t="shared" si="14"/>
        <v>1</v>
      </c>
      <c r="Q53" s="32">
        <f t="shared" si="9"/>
        <v>15216</v>
      </c>
      <c r="R53" s="32">
        <f ca="1" t="shared" si="10"/>
        <v>4</v>
      </c>
      <c r="S53" s="32" t="str">
        <f t="shared" si="11"/>
        <v>Not Eligible</v>
      </c>
      <c r="T53" s="32" t="str">
        <f ca="1" t="shared" si="12"/>
        <v>Not Eligible</v>
      </c>
      <c r="U53" s="32" t="str">
        <f t="shared" si="13"/>
        <v>Excellent</v>
      </c>
    </row>
    <row r="54" spans="1:21">
      <c r="A54" s="28" t="s">
        <v>188</v>
      </c>
      <c r="B54" s="28" t="s">
        <v>189</v>
      </c>
      <c r="C54" s="28" t="s">
        <v>29</v>
      </c>
      <c r="D54" s="28" t="s">
        <v>30</v>
      </c>
      <c r="E54" s="29">
        <v>45032</v>
      </c>
      <c r="F54" s="28">
        <v>37000</v>
      </c>
      <c r="G54" s="28">
        <v>3000</v>
      </c>
      <c r="H54" s="28">
        <v>2000</v>
      </c>
      <c r="I54" s="28">
        <v>26</v>
      </c>
      <c r="J54" s="28">
        <v>20</v>
      </c>
      <c r="K54" s="28">
        <v>105000</v>
      </c>
      <c r="L54" s="28">
        <v>120073</v>
      </c>
      <c r="M54" s="28" t="s">
        <v>34</v>
      </c>
      <c r="N54" s="28" t="s">
        <v>190</v>
      </c>
      <c r="O54" s="30">
        <f t="shared" si="8"/>
        <v>42000</v>
      </c>
      <c r="P54" s="31">
        <f t="shared" si="14"/>
        <v>0.769230769230769</v>
      </c>
      <c r="Q54" s="32">
        <f t="shared" si="9"/>
        <v>15073</v>
      </c>
      <c r="R54" s="32">
        <f ca="1" t="shared" si="10"/>
        <v>3</v>
      </c>
      <c r="S54" s="32" t="str">
        <f t="shared" si="11"/>
        <v>Not Eligible</v>
      </c>
      <c r="T54" s="32" t="str">
        <f ca="1" t="shared" si="12"/>
        <v>Not Eligible</v>
      </c>
      <c r="U54" s="32" t="str">
        <f t="shared" si="13"/>
        <v>Good</v>
      </c>
    </row>
    <row r="55" spans="1:21">
      <c r="A55" s="28" t="s">
        <v>191</v>
      </c>
      <c r="B55" s="28" t="s">
        <v>192</v>
      </c>
      <c r="C55" s="28" t="s">
        <v>29</v>
      </c>
      <c r="D55" s="28" t="s">
        <v>30</v>
      </c>
      <c r="E55" s="29">
        <v>44316</v>
      </c>
      <c r="F55" s="28">
        <v>73000</v>
      </c>
      <c r="G55" s="28">
        <v>4500</v>
      </c>
      <c r="H55" s="28">
        <v>1500</v>
      </c>
      <c r="I55" s="28">
        <v>26</v>
      </c>
      <c r="J55" s="28">
        <v>20</v>
      </c>
      <c r="K55" s="28">
        <v>113000</v>
      </c>
      <c r="L55" s="28">
        <v>103092</v>
      </c>
      <c r="M55" s="28" t="s">
        <v>25</v>
      </c>
      <c r="N55" s="28" t="s">
        <v>193</v>
      </c>
      <c r="O55" s="30">
        <f t="shared" si="8"/>
        <v>79000</v>
      </c>
      <c r="P55" s="31">
        <f t="shared" si="14"/>
        <v>0.769230769230769</v>
      </c>
      <c r="Q55" s="32">
        <f t="shared" si="9"/>
        <v>-9908</v>
      </c>
      <c r="R55" s="32">
        <f ca="1" t="shared" si="10"/>
        <v>5</v>
      </c>
      <c r="S55" s="32" t="str">
        <f t="shared" si="11"/>
        <v>Not Eligible</v>
      </c>
      <c r="T55" s="32" t="str">
        <f ca="1" t="shared" si="12"/>
        <v>Not Eligible</v>
      </c>
      <c r="U55" s="32" t="str">
        <f t="shared" si="13"/>
        <v>Need Improvement</v>
      </c>
    </row>
    <row r="56" spans="1:21">
      <c r="A56" s="28" t="s">
        <v>194</v>
      </c>
      <c r="B56" s="28" t="s">
        <v>195</v>
      </c>
      <c r="C56" s="28" t="s">
        <v>66</v>
      </c>
      <c r="D56" s="28" t="s">
        <v>67</v>
      </c>
      <c r="E56" s="29">
        <v>44042</v>
      </c>
      <c r="F56" s="28">
        <v>66000</v>
      </c>
      <c r="G56" s="28">
        <v>3500</v>
      </c>
      <c r="H56" s="28">
        <v>3000</v>
      </c>
      <c r="I56" s="28">
        <v>26</v>
      </c>
      <c r="J56" s="28">
        <v>26</v>
      </c>
      <c r="K56" s="28">
        <v>134000</v>
      </c>
      <c r="L56" s="28">
        <v>144073</v>
      </c>
      <c r="M56" s="28" t="s">
        <v>34</v>
      </c>
      <c r="N56" s="28" t="s">
        <v>196</v>
      </c>
      <c r="O56" s="30">
        <f t="shared" si="8"/>
        <v>72500</v>
      </c>
      <c r="P56" s="31">
        <f t="shared" si="14"/>
        <v>1</v>
      </c>
      <c r="Q56" s="32">
        <f t="shared" si="9"/>
        <v>10073</v>
      </c>
      <c r="R56" s="32">
        <f ca="1" t="shared" si="10"/>
        <v>6</v>
      </c>
      <c r="S56" s="32" t="str">
        <f t="shared" si="11"/>
        <v>Eligible</v>
      </c>
      <c r="T56" s="32" t="str">
        <f ca="1" t="shared" si="12"/>
        <v>Eligible</v>
      </c>
      <c r="U56" s="32" t="str">
        <f t="shared" si="13"/>
        <v>Excellent</v>
      </c>
    </row>
    <row r="57" spans="1:21">
      <c r="A57" s="28" t="s">
        <v>197</v>
      </c>
      <c r="B57" s="28" t="s">
        <v>198</v>
      </c>
      <c r="C57" s="28" t="s">
        <v>39</v>
      </c>
      <c r="D57" s="28" t="s">
        <v>40</v>
      </c>
      <c r="E57" s="29">
        <v>45597</v>
      </c>
      <c r="F57" s="28">
        <v>44000</v>
      </c>
      <c r="G57" s="28">
        <v>4500</v>
      </c>
      <c r="H57" s="28">
        <v>3000</v>
      </c>
      <c r="I57" s="28">
        <v>26</v>
      </c>
      <c r="J57" s="28">
        <v>21</v>
      </c>
      <c r="K57" s="28">
        <v>76000</v>
      </c>
      <c r="L57" s="28">
        <v>93061</v>
      </c>
      <c r="M57" s="28" t="s">
        <v>34</v>
      </c>
      <c r="N57" s="28" t="s">
        <v>199</v>
      </c>
      <c r="O57" s="30">
        <f t="shared" si="8"/>
        <v>51500</v>
      </c>
      <c r="P57" s="31">
        <f t="shared" si="14"/>
        <v>0.807692307692308</v>
      </c>
      <c r="Q57" s="32">
        <f t="shared" si="9"/>
        <v>17061</v>
      </c>
      <c r="R57" s="32">
        <f ca="1" t="shared" si="10"/>
        <v>1</v>
      </c>
      <c r="S57" s="32" t="str">
        <f t="shared" si="11"/>
        <v>Not Eligible</v>
      </c>
      <c r="T57" s="32" t="str">
        <f ca="1" t="shared" si="12"/>
        <v>Not Eligible</v>
      </c>
      <c r="U57" s="32" t="str">
        <f t="shared" si="13"/>
        <v>Good</v>
      </c>
    </row>
    <row r="58" spans="1:21">
      <c r="A58" s="28" t="s">
        <v>200</v>
      </c>
      <c r="B58" s="28" t="s">
        <v>177</v>
      </c>
      <c r="C58" s="28" t="s">
        <v>66</v>
      </c>
      <c r="D58" s="28" t="s">
        <v>67</v>
      </c>
      <c r="E58" s="29">
        <v>45465</v>
      </c>
      <c r="F58" s="28">
        <v>77000</v>
      </c>
      <c r="G58" s="28">
        <v>3500</v>
      </c>
      <c r="H58" s="28">
        <v>4000</v>
      </c>
      <c r="I58" s="28">
        <v>26</v>
      </c>
      <c r="J58" s="28">
        <v>21</v>
      </c>
      <c r="K58" s="28">
        <v>73000</v>
      </c>
      <c r="L58" s="28">
        <v>96555</v>
      </c>
      <c r="M58" s="28" t="s">
        <v>34</v>
      </c>
      <c r="N58" s="28" t="s">
        <v>178</v>
      </c>
      <c r="O58" s="30">
        <f t="shared" si="8"/>
        <v>84500</v>
      </c>
      <c r="P58" s="31">
        <f t="shared" si="14"/>
        <v>0.807692307692308</v>
      </c>
      <c r="Q58" s="32">
        <f t="shared" si="9"/>
        <v>23555</v>
      </c>
      <c r="R58" s="32">
        <f ca="1" t="shared" si="10"/>
        <v>2</v>
      </c>
      <c r="S58" s="32" t="str">
        <f t="shared" si="11"/>
        <v>Eligible</v>
      </c>
      <c r="T58" s="32" t="str">
        <f ca="1" t="shared" si="12"/>
        <v>Not Eligible</v>
      </c>
      <c r="U58" s="32" t="str">
        <f t="shared" si="13"/>
        <v>Good</v>
      </c>
    </row>
    <row r="59" spans="1:21">
      <c r="A59" s="28" t="s">
        <v>201</v>
      </c>
      <c r="B59" s="28" t="s">
        <v>202</v>
      </c>
      <c r="C59" s="28" t="s">
        <v>39</v>
      </c>
      <c r="D59" s="28" t="s">
        <v>40</v>
      </c>
      <c r="E59" s="29">
        <v>44228</v>
      </c>
      <c r="F59" s="28">
        <v>62000</v>
      </c>
      <c r="G59" s="28">
        <v>3500</v>
      </c>
      <c r="H59" s="28">
        <v>500</v>
      </c>
      <c r="I59" s="28">
        <v>26</v>
      </c>
      <c r="J59" s="28">
        <v>21</v>
      </c>
      <c r="K59" s="28">
        <v>71000</v>
      </c>
      <c r="L59" s="28">
        <v>73315</v>
      </c>
      <c r="M59" s="28" t="s">
        <v>34</v>
      </c>
      <c r="N59" s="28" t="s">
        <v>203</v>
      </c>
      <c r="O59" s="30">
        <f t="shared" si="8"/>
        <v>66000</v>
      </c>
      <c r="P59" s="31">
        <f t="shared" si="14"/>
        <v>0.807692307692308</v>
      </c>
      <c r="Q59" s="32">
        <f t="shared" si="9"/>
        <v>2315</v>
      </c>
      <c r="R59" s="32">
        <f ca="1" t="shared" si="10"/>
        <v>5</v>
      </c>
      <c r="S59" s="32" t="str">
        <f t="shared" si="11"/>
        <v>Eligible</v>
      </c>
      <c r="T59" s="32" t="str">
        <f ca="1" t="shared" si="12"/>
        <v>Eligible</v>
      </c>
      <c r="U59" s="32" t="str">
        <f t="shared" si="13"/>
        <v>Good</v>
      </c>
    </row>
    <row r="60" spans="1:21">
      <c r="A60" s="28" t="s">
        <v>204</v>
      </c>
      <c r="B60" s="28" t="s">
        <v>205</v>
      </c>
      <c r="C60" s="28" t="s">
        <v>39</v>
      </c>
      <c r="D60" s="28" t="s">
        <v>40</v>
      </c>
      <c r="E60" s="29">
        <v>44240</v>
      </c>
      <c r="F60" s="28">
        <v>50000</v>
      </c>
      <c r="G60" s="28">
        <v>1500</v>
      </c>
      <c r="H60" s="28">
        <v>3500</v>
      </c>
      <c r="I60" s="28">
        <v>26</v>
      </c>
      <c r="J60" s="28">
        <v>23</v>
      </c>
      <c r="K60" s="28">
        <v>86000</v>
      </c>
      <c r="L60" s="28">
        <v>106528</v>
      </c>
      <c r="M60" s="28" t="s">
        <v>34</v>
      </c>
      <c r="N60" s="28" t="s">
        <v>206</v>
      </c>
      <c r="O60" s="30">
        <f t="shared" si="8"/>
        <v>55000</v>
      </c>
      <c r="P60" s="31">
        <f t="shared" si="14"/>
        <v>0.884615384615385</v>
      </c>
      <c r="Q60" s="32">
        <f t="shared" si="9"/>
        <v>20528</v>
      </c>
      <c r="R60" s="32">
        <f ca="1" t="shared" si="10"/>
        <v>5</v>
      </c>
      <c r="S60" s="32" t="str">
        <f t="shared" si="11"/>
        <v>Not Eligible</v>
      </c>
      <c r="T60" s="32" t="str">
        <f ca="1" t="shared" si="12"/>
        <v>Eligible</v>
      </c>
      <c r="U60" s="32" t="str">
        <f t="shared" si="13"/>
        <v>Good</v>
      </c>
    </row>
    <row r="61" spans="1:21">
      <c r="A61" s="28" t="s">
        <v>207</v>
      </c>
      <c r="B61" s="28" t="s">
        <v>128</v>
      </c>
      <c r="C61" s="28" t="s">
        <v>23</v>
      </c>
      <c r="D61" s="28" t="s">
        <v>24</v>
      </c>
      <c r="E61" s="29">
        <v>45387</v>
      </c>
      <c r="F61" s="28">
        <v>48000</v>
      </c>
      <c r="G61" s="28">
        <v>4000</v>
      </c>
      <c r="H61" s="28">
        <v>500</v>
      </c>
      <c r="I61" s="28">
        <v>26</v>
      </c>
      <c r="J61" s="28">
        <v>25</v>
      </c>
      <c r="K61" s="28">
        <v>78000</v>
      </c>
      <c r="L61" s="28">
        <v>65418</v>
      </c>
      <c r="M61" s="28" t="s">
        <v>25</v>
      </c>
      <c r="N61" s="28" t="s">
        <v>129</v>
      </c>
      <c r="O61" s="30">
        <f t="shared" si="8"/>
        <v>52500</v>
      </c>
      <c r="P61" s="31">
        <f t="shared" si="14"/>
        <v>0.961538461538462</v>
      </c>
      <c r="Q61" s="32">
        <f t="shared" si="9"/>
        <v>-12582</v>
      </c>
      <c r="R61" s="32">
        <f ca="1" t="shared" si="10"/>
        <v>2</v>
      </c>
      <c r="S61" s="32" t="str">
        <f t="shared" si="11"/>
        <v>Not Eligible</v>
      </c>
      <c r="T61" s="32" t="str">
        <f ca="1" t="shared" si="12"/>
        <v>Not Eligible</v>
      </c>
      <c r="U61" s="32" t="str">
        <f t="shared" si="13"/>
        <v>Need Improvement</v>
      </c>
    </row>
    <row r="62" spans="1:21">
      <c r="A62" s="28" t="s">
        <v>208</v>
      </c>
      <c r="B62" s="28" t="s">
        <v>186</v>
      </c>
      <c r="C62" s="28" t="s">
        <v>66</v>
      </c>
      <c r="D62" s="28" t="s">
        <v>67</v>
      </c>
      <c r="E62" s="29">
        <v>44904</v>
      </c>
      <c r="F62" s="28">
        <v>40000</v>
      </c>
      <c r="G62" s="28">
        <v>1500</v>
      </c>
      <c r="H62" s="28">
        <v>500</v>
      </c>
      <c r="I62" s="28">
        <v>26</v>
      </c>
      <c r="J62" s="28">
        <v>23</v>
      </c>
      <c r="K62" s="28">
        <v>141000</v>
      </c>
      <c r="L62" s="28">
        <v>134040</v>
      </c>
      <c r="M62" s="28" t="s">
        <v>25</v>
      </c>
      <c r="N62" s="28" t="s">
        <v>187</v>
      </c>
      <c r="O62" s="30">
        <f t="shared" si="8"/>
        <v>42000</v>
      </c>
      <c r="P62" s="31">
        <f t="shared" si="14"/>
        <v>0.884615384615385</v>
      </c>
      <c r="Q62" s="32">
        <f t="shared" si="9"/>
        <v>-6960</v>
      </c>
      <c r="R62" s="32">
        <f ca="1" t="shared" si="10"/>
        <v>3</v>
      </c>
      <c r="S62" s="32" t="str">
        <f t="shared" si="11"/>
        <v>Not Eligible</v>
      </c>
      <c r="T62" s="32" t="str">
        <f ca="1" t="shared" si="12"/>
        <v>Not Eligible</v>
      </c>
      <c r="U62" s="32" t="str">
        <f t="shared" si="13"/>
        <v>Need Improvement</v>
      </c>
    </row>
    <row r="63" spans="1:21">
      <c r="A63" s="28" t="s">
        <v>209</v>
      </c>
      <c r="B63" s="28" t="s">
        <v>210</v>
      </c>
      <c r="C63" s="28" t="s">
        <v>66</v>
      </c>
      <c r="D63" s="28" t="s">
        <v>67</v>
      </c>
      <c r="E63" s="29">
        <v>44471</v>
      </c>
      <c r="F63" s="28">
        <v>30000</v>
      </c>
      <c r="G63" s="28">
        <v>2000</v>
      </c>
      <c r="H63" s="28">
        <v>500</v>
      </c>
      <c r="I63" s="28">
        <v>26</v>
      </c>
      <c r="J63" s="28">
        <v>20</v>
      </c>
      <c r="K63" s="28">
        <v>91000</v>
      </c>
      <c r="L63" s="28">
        <v>91550</v>
      </c>
      <c r="M63" s="28" t="s">
        <v>34</v>
      </c>
      <c r="N63" s="28" t="s">
        <v>211</v>
      </c>
      <c r="O63" s="30">
        <f t="shared" si="8"/>
        <v>32500</v>
      </c>
      <c r="P63" s="31">
        <f t="shared" si="14"/>
        <v>0.769230769230769</v>
      </c>
      <c r="Q63" s="32">
        <f t="shared" si="9"/>
        <v>550</v>
      </c>
      <c r="R63" s="32">
        <f ca="1" t="shared" si="10"/>
        <v>4</v>
      </c>
      <c r="S63" s="32" t="str">
        <f t="shared" si="11"/>
        <v>Not Eligible</v>
      </c>
      <c r="T63" s="32" t="str">
        <f ca="1" t="shared" si="12"/>
        <v>Not Eligible</v>
      </c>
      <c r="U63" s="32" t="str">
        <f t="shared" si="13"/>
        <v>Good</v>
      </c>
    </row>
    <row r="64" spans="1:21">
      <c r="A64" s="28" t="s">
        <v>212</v>
      </c>
      <c r="B64" s="28" t="s">
        <v>145</v>
      </c>
      <c r="C64" s="28" t="s">
        <v>53</v>
      </c>
      <c r="D64" s="28" t="s">
        <v>40</v>
      </c>
      <c r="E64" s="29">
        <v>45513</v>
      </c>
      <c r="F64" s="28">
        <v>79000</v>
      </c>
      <c r="G64" s="28">
        <v>3000</v>
      </c>
      <c r="H64" s="28">
        <v>2500</v>
      </c>
      <c r="I64" s="28">
        <v>26</v>
      </c>
      <c r="J64" s="28">
        <v>26</v>
      </c>
      <c r="K64" s="28">
        <v>130000</v>
      </c>
      <c r="L64" s="28">
        <v>133968</v>
      </c>
      <c r="M64" s="28" t="s">
        <v>34</v>
      </c>
      <c r="N64" s="28" t="s">
        <v>146</v>
      </c>
      <c r="O64" s="30">
        <f t="shared" si="8"/>
        <v>84500</v>
      </c>
      <c r="P64" s="31">
        <f t="shared" si="14"/>
        <v>1</v>
      </c>
      <c r="Q64" s="32">
        <f t="shared" si="9"/>
        <v>3968</v>
      </c>
      <c r="R64" s="32">
        <f ca="1" t="shared" si="10"/>
        <v>1</v>
      </c>
      <c r="S64" s="32" t="str">
        <f t="shared" si="11"/>
        <v>Eligible</v>
      </c>
      <c r="T64" s="32" t="str">
        <f ca="1" t="shared" si="12"/>
        <v>Not Eligible</v>
      </c>
      <c r="U64" s="32" t="str">
        <f t="shared" si="13"/>
        <v>Excellent</v>
      </c>
    </row>
    <row r="65" spans="1:21">
      <c r="A65" s="28" t="s">
        <v>213</v>
      </c>
      <c r="B65" s="28" t="s">
        <v>171</v>
      </c>
      <c r="C65" s="28" t="s">
        <v>53</v>
      </c>
      <c r="D65" s="28" t="s">
        <v>40</v>
      </c>
      <c r="E65" s="29">
        <v>45769</v>
      </c>
      <c r="F65" s="28">
        <v>77000</v>
      </c>
      <c r="G65" s="28">
        <v>3500</v>
      </c>
      <c r="H65" s="28">
        <v>2500</v>
      </c>
      <c r="I65" s="28">
        <v>26</v>
      </c>
      <c r="J65" s="28">
        <v>23</v>
      </c>
      <c r="K65" s="28">
        <v>99000</v>
      </c>
      <c r="L65" s="28">
        <v>93255</v>
      </c>
      <c r="M65" s="28" t="s">
        <v>25</v>
      </c>
      <c r="N65" s="28" t="s">
        <v>172</v>
      </c>
      <c r="O65" s="30">
        <f t="shared" si="8"/>
        <v>83000</v>
      </c>
      <c r="P65" s="31">
        <f t="shared" si="14"/>
        <v>0.884615384615385</v>
      </c>
      <c r="Q65" s="32">
        <f t="shared" si="9"/>
        <v>-5745</v>
      </c>
      <c r="R65" s="32">
        <f ca="1" t="shared" si="10"/>
        <v>1</v>
      </c>
      <c r="S65" s="32" t="str">
        <f t="shared" si="11"/>
        <v>Not Eligible</v>
      </c>
      <c r="T65" s="32" t="str">
        <f ca="1" t="shared" si="12"/>
        <v>Not Eligible</v>
      </c>
      <c r="U65" s="32" t="str">
        <f t="shared" si="13"/>
        <v>Need Improvement</v>
      </c>
    </row>
    <row r="66" spans="1:21">
      <c r="A66" s="28" t="s">
        <v>214</v>
      </c>
      <c r="B66" s="28" t="s">
        <v>215</v>
      </c>
      <c r="C66" s="28" t="s">
        <v>23</v>
      </c>
      <c r="D66" s="28" t="s">
        <v>24</v>
      </c>
      <c r="E66" s="29">
        <v>44749</v>
      </c>
      <c r="F66" s="28">
        <v>43000</v>
      </c>
      <c r="G66" s="28">
        <v>3000</v>
      </c>
      <c r="H66" s="28">
        <v>3500</v>
      </c>
      <c r="I66" s="28">
        <v>26</v>
      </c>
      <c r="J66" s="28">
        <v>23</v>
      </c>
      <c r="K66" s="28">
        <v>95000</v>
      </c>
      <c r="L66" s="28">
        <v>80407</v>
      </c>
      <c r="M66" s="28" t="s">
        <v>25</v>
      </c>
      <c r="N66" s="28" t="s">
        <v>216</v>
      </c>
      <c r="O66" s="30">
        <f t="shared" ref="O66:O101" si="15">SUM(F66:H66)</f>
        <v>49500</v>
      </c>
      <c r="P66" s="31">
        <f t="shared" si="14"/>
        <v>0.884615384615385</v>
      </c>
      <c r="Q66" s="32">
        <f t="shared" ref="Q66:Q101" si="16">L66-K66</f>
        <v>-14593</v>
      </c>
      <c r="R66" s="32">
        <f ca="1" t="shared" ref="R66:R101" si="17">DATEDIF(E66,TODAY(),"Y")</f>
        <v>4</v>
      </c>
      <c r="S66" s="32" t="str">
        <f t="shared" ref="S66:S101" si="18">IF(AND(L66&gt;K66,F66&gt;60000),"Eligible","Not Eligible")</f>
        <v>Not Eligible</v>
      </c>
      <c r="T66" s="32" t="str">
        <f ca="1" t="shared" ref="T66:T101" si="19">IF(AND(R66&gt;=5,M66="Achieved"),"Eligible","Not Eligible")</f>
        <v>Not Eligible</v>
      </c>
      <c r="U66" s="32" t="str">
        <f t="shared" ref="U66:U101" si="20">IF(AND(M66="Achieved",P66&gt;=95%),"Excellent",IF(M66="Achieved","Good","Need Improvement"))</f>
        <v>Need Improvement</v>
      </c>
    </row>
    <row r="67" spans="1:21">
      <c r="A67" s="28" t="s">
        <v>217</v>
      </c>
      <c r="B67" s="28" t="s">
        <v>218</v>
      </c>
      <c r="C67" s="28" t="s">
        <v>66</v>
      </c>
      <c r="D67" s="28" t="s">
        <v>67</v>
      </c>
      <c r="E67" s="29">
        <v>44080</v>
      </c>
      <c r="F67" s="28">
        <v>37000</v>
      </c>
      <c r="G67" s="28">
        <v>1500</v>
      </c>
      <c r="H67" s="28">
        <v>2500</v>
      </c>
      <c r="I67" s="28">
        <v>26</v>
      </c>
      <c r="J67" s="28">
        <v>26</v>
      </c>
      <c r="K67" s="28">
        <v>140000</v>
      </c>
      <c r="L67" s="28">
        <v>153912</v>
      </c>
      <c r="M67" s="28" t="s">
        <v>34</v>
      </c>
      <c r="N67" s="28" t="s">
        <v>219</v>
      </c>
      <c r="O67" s="30">
        <f t="shared" si="15"/>
        <v>41000</v>
      </c>
      <c r="P67" s="31">
        <f t="shared" si="14"/>
        <v>1</v>
      </c>
      <c r="Q67" s="32">
        <f t="shared" si="16"/>
        <v>13912</v>
      </c>
      <c r="R67" s="32">
        <f ca="1" t="shared" si="17"/>
        <v>5</v>
      </c>
      <c r="S67" s="32" t="str">
        <f t="shared" si="18"/>
        <v>Not Eligible</v>
      </c>
      <c r="T67" s="32" t="str">
        <f ca="1" t="shared" si="19"/>
        <v>Eligible</v>
      </c>
      <c r="U67" s="32" t="str">
        <f t="shared" si="20"/>
        <v>Excellent</v>
      </c>
    </row>
    <row r="68" spans="1:21">
      <c r="A68" s="28" t="s">
        <v>220</v>
      </c>
      <c r="B68" s="28" t="s">
        <v>221</v>
      </c>
      <c r="C68" s="28" t="s">
        <v>29</v>
      </c>
      <c r="D68" s="28" t="s">
        <v>30</v>
      </c>
      <c r="E68" s="29">
        <v>45841</v>
      </c>
      <c r="F68" s="28">
        <v>46000</v>
      </c>
      <c r="G68" s="28">
        <v>3500</v>
      </c>
      <c r="H68" s="28">
        <v>2000</v>
      </c>
      <c r="I68" s="28">
        <v>26</v>
      </c>
      <c r="J68" s="28">
        <v>21</v>
      </c>
      <c r="K68" s="28">
        <v>119000</v>
      </c>
      <c r="L68" s="28">
        <v>120997</v>
      </c>
      <c r="M68" s="28" t="s">
        <v>34</v>
      </c>
      <c r="N68" s="28" t="s">
        <v>222</v>
      </c>
      <c r="O68" s="30">
        <f t="shared" si="15"/>
        <v>51500</v>
      </c>
      <c r="P68" s="31">
        <f t="shared" si="14"/>
        <v>0.807692307692308</v>
      </c>
      <c r="Q68" s="32">
        <f t="shared" si="16"/>
        <v>1997</v>
      </c>
      <c r="R68" s="32">
        <f ca="1" t="shared" si="17"/>
        <v>1</v>
      </c>
      <c r="S68" s="32" t="str">
        <f t="shared" si="18"/>
        <v>Not Eligible</v>
      </c>
      <c r="T68" s="32" t="str">
        <f ca="1" t="shared" si="19"/>
        <v>Not Eligible</v>
      </c>
      <c r="U68" s="32" t="str">
        <f t="shared" si="20"/>
        <v>Good</v>
      </c>
    </row>
    <row r="69" spans="1:21">
      <c r="A69" s="28" t="s">
        <v>223</v>
      </c>
      <c r="B69" s="28" t="s">
        <v>96</v>
      </c>
      <c r="C69" s="28" t="s">
        <v>66</v>
      </c>
      <c r="D69" s="28" t="s">
        <v>67</v>
      </c>
      <c r="E69" s="29">
        <v>44753</v>
      </c>
      <c r="F69" s="28">
        <v>59000</v>
      </c>
      <c r="G69" s="28">
        <v>3500</v>
      </c>
      <c r="H69" s="28">
        <v>2000</v>
      </c>
      <c r="I69" s="28">
        <v>26</v>
      </c>
      <c r="J69" s="28">
        <v>20</v>
      </c>
      <c r="K69" s="28">
        <v>72000</v>
      </c>
      <c r="L69" s="28">
        <v>64492</v>
      </c>
      <c r="M69" s="28" t="s">
        <v>25</v>
      </c>
      <c r="N69" s="28" t="s">
        <v>97</v>
      </c>
      <c r="O69" s="30">
        <f t="shared" si="15"/>
        <v>64500</v>
      </c>
      <c r="P69" s="31">
        <f t="shared" si="14"/>
        <v>0.769230769230769</v>
      </c>
      <c r="Q69" s="32">
        <f t="shared" si="16"/>
        <v>-7508</v>
      </c>
      <c r="R69" s="32">
        <f ca="1" t="shared" si="17"/>
        <v>4</v>
      </c>
      <c r="S69" s="32" t="str">
        <f t="shared" si="18"/>
        <v>Not Eligible</v>
      </c>
      <c r="T69" s="32" t="str">
        <f ca="1" t="shared" si="19"/>
        <v>Not Eligible</v>
      </c>
      <c r="U69" s="32" t="str">
        <f t="shared" si="20"/>
        <v>Need Improvement</v>
      </c>
    </row>
    <row r="70" spans="1:21">
      <c r="A70" s="28" t="s">
        <v>224</v>
      </c>
      <c r="B70" s="28" t="s">
        <v>225</v>
      </c>
      <c r="C70" s="28" t="s">
        <v>23</v>
      </c>
      <c r="D70" s="28" t="s">
        <v>24</v>
      </c>
      <c r="E70" s="29">
        <v>45996</v>
      </c>
      <c r="F70" s="28">
        <v>60000</v>
      </c>
      <c r="G70" s="28">
        <v>4000</v>
      </c>
      <c r="H70" s="28">
        <v>2500</v>
      </c>
      <c r="I70" s="28">
        <v>26</v>
      </c>
      <c r="J70" s="28">
        <v>25</v>
      </c>
      <c r="K70" s="28">
        <v>113000</v>
      </c>
      <c r="L70" s="28">
        <v>122559</v>
      </c>
      <c r="M70" s="28" t="s">
        <v>34</v>
      </c>
      <c r="N70" s="58" t="s">
        <v>226</v>
      </c>
      <c r="O70" s="30">
        <f t="shared" si="15"/>
        <v>66500</v>
      </c>
      <c r="P70" s="31">
        <f t="shared" si="14"/>
        <v>0.961538461538462</v>
      </c>
      <c r="Q70" s="32">
        <f t="shared" si="16"/>
        <v>9559</v>
      </c>
      <c r="R70" s="32">
        <f ca="1" t="shared" si="17"/>
        <v>0</v>
      </c>
      <c r="S70" s="40" t="str">
        <f t="shared" si="18"/>
        <v>Not Eligible</v>
      </c>
      <c r="T70" s="40" t="str">
        <f ca="1" t="shared" si="19"/>
        <v>Not Eligible</v>
      </c>
      <c r="U70" s="40" t="str">
        <f t="shared" si="20"/>
        <v>Excellent</v>
      </c>
    </row>
    <row r="71" spans="1:21">
      <c r="A71" s="28" t="s">
        <v>227</v>
      </c>
      <c r="B71" s="28" t="s">
        <v>228</v>
      </c>
      <c r="C71" s="28" t="s">
        <v>53</v>
      </c>
      <c r="D71" s="28" t="s">
        <v>40</v>
      </c>
      <c r="E71" s="29">
        <v>44408</v>
      </c>
      <c r="F71" s="28">
        <v>32000</v>
      </c>
      <c r="G71" s="28">
        <v>3000</v>
      </c>
      <c r="H71" s="28">
        <v>500</v>
      </c>
      <c r="I71" s="28">
        <v>26</v>
      </c>
      <c r="J71" s="28">
        <v>24</v>
      </c>
      <c r="K71" s="28">
        <v>126000</v>
      </c>
      <c r="L71" s="28">
        <v>125216</v>
      </c>
      <c r="M71" s="28" t="s">
        <v>25</v>
      </c>
      <c r="N71" s="28" t="s">
        <v>229</v>
      </c>
      <c r="O71" s="30">
        <f t="shared" si="15"/>
        <v>35500</v>
      </c>
      <c r="P71" s="31">
        <f t="shared" si="14"/>
        <v>0.923076923076923</v>
      </c>
      <c r="Q71" s="32">
        <f t="shared" si="16"/>
        <v>-784</v>
      </c>
      <c r="R71" s="32">
        <f ca="1" t="shared" si="17"/>
        <v>5</v>
      </c>
      <c r="S71" s="32" t="str">
        <f t="shared" si="18"/>
        <v>Not Eligible</v>
      </c>
      <c r="T71" s="32" t="str">
        <f ca="1" t="shared" si="19"/>
        <v>Not Eligible</v>
      </c>
      <c r="U71" s="32" t="str">
        <f t="shared" si="20"/>
        <v>Need Improvement</v>
      </c>
    </row>
    <row r="72" spans="1:21">
      <c r="A72" s="28" t="s">
        <v>230</v>
      </c>
      <c r="B72" s="28" t="s">
        <v>159</v>
      </c>
      <c r="C72" s="28" t="s">
        <v>53</v>
      </c>
      <c r="D72" s="28" t="s">
        <v>40</v>
      </c>
      <c r="E72" s="29">
        <v>44475</v>
      </c>
      <c r="F72" s="28">
        <v>60000</v>
      </c>
      <c r="G72" s="28">
        <v>3500</v>
      </c>
      <c r="H72" s="28">
        <v>1500</v>
      </c>
      <c r="I72" s="28">
        <v>26</v>
      </c>
      <c r="J72" s="28">
        <v>23</v>
      </c>
      <c r="K72" s="28">
        <v>86000</v>
      </c>
      <c r="L72" s="28">
        <v>110651</v>
      </c>
      <c r="M72" s="28" t="s">
        <v>34</v>
      </c>
      <c r="N72" s="28" t="s">
        <v>160</v>
      </c>
      <c r="O72" s="30">
        <f t="shared" si="15"/>
        <v>65000</v>
      </c>
      <c r="P72" s="31">
        <f t="shared" si="14"/>
        <v>0.884615384615385</v>
      </c>
      <c r="Q72" s="32">
        <f t="shared" si="16"/>
        <v>24651</v>
      </c>
      <c r="R72" s="32">
        <f ca="1" t="shared" si="17"/>
        <v>4</v>
      </c>
      <c r="S72" s="32" t="str">
        <f t="shared" si="18"/>
        <v>Not Eligible</v>
      </c>
      <c r="T72" s="32" t="str">
        <f ca="1" t="shared" si="19"/>
        <v>Not Eligible</v>
      </c>
      <c r="U72" s="32" t="str">
        <f t="shared" si="20"/>
        <v>Good</v>
      </c>
    </row>
    <row r="73" spans="1:21">
      <c r="A73" s="28" t="s">
        <v>231</v>
      </c>
      <c r="B73" s="28" t="s">
        <v>192</v>
      </c>
      <c r="C73" s="28" t="s">
        <v>66</v>
      </c>
      <c r="D73" s="28" t="s">
        <v>67</v>
      </c>
      <c r="E73" s="29">
        <v>45064</v>
      </c>
      <c r="F73" s="28">
        <v>58000</v>
      </c>
      <c r="G73" s="28">
        <v>3000</v>
      </c>
      <c r="H73" s="28">
        <v>2500</v>
      </c>
      <c r="I73" s="28">
        <v>26</v>
      </c>
      <c r="J73" s="28">
        <v>24</v>
      </c>
      <c r="K73" s="28">
        <v>142000</v>
      </c>
      <c r="L73" s="28">
        <v>134982</v>
      </c>
      <c r="M73" s="28" t="s">
        <v>25</v>
      </c>
      <c r="N73" s="28" t="s">
        <v>193</v>
      </c>
      <c r="O73" s="30">
        <f t="shared" si="15"/>
        <v>63500</v>
      </c>
      <c r="P73" s="31">
        <f t="shared" si="14"/>
        <v>0.923076923076923</v>
      </c>
      <c r="Q73" s="32">
        <f t="shared" si="16"/>
        <v>-7018</v>
      </c>
      <c r="R73" s="32">
        <f ca="1" t="shared" si="17"/>
        <v>3</v>
      </c>
      <c r="S73" s="32" t="str">
        <f t="shared" si="18"/>
        <v>Not Eligible</v>
      </c>
      <c r="T73" s="32" t="str">
        <f ca="1" t="shared" si="19"/>
        <v>Not Eligible</v>
      </c>
      <c r="U73" s="32" t="str">
        <f t="shared" si="20"/>
        <v>Need Improvement</v>
      </c>
    </row>
    <row r="74" spans="1:21">
      <c r="A74" s="28" t="s">
        <v>232</v>
      </c>
      <c r="B74" s="28" t="s">
        <v>71</v>
      </c>
      <c r="C74" s="28" t="s">
        <v>66</v>
      </c>
      <c r="D74" s="28" t="s">
        <v>67</v>
      </c>
      <c r="E74" s="29">
        <v>44644</v>
      </c>
      <c r="F74" s="28">
        <v>36000</v>
      </c>
      <c r="G74" s="28">
        <v>5000</v>
      </c>
      <c r="H74" s="28">
        <v>1500</v>
      </c>
      <c r="I74" s="28">
        <v>26</v>
      </c>
      <c r="J74" s="28">
        <v>25</v>
      </c>
      <c r="K74" s="28">
        <v>115000</v>
      </c>
      <c r="L74" s="28">
        <v>107389</v>
      </c>
      <c r="M74" s="28" t="s">
        <v>25</v>
      </c>
      <c r="N74" s="28" t="s">
        <v>72</v>
      </c>
      <c r="O74" s="30">
        <f t="shared" si="15"/>
        <v>42500</v>
      </c>
      <c r="P74" s="31">
        <f t="shared" ref="P74:P101" si="21">J74/I74</f>
        <v>0.961538461538462</v>
      </c>
      <c r="Q74" s="32">
        <f t="shared" si="16"/>
        <v>-7611</v>
      </c>
      <c r="R74" s="32">
        <f ca="1" t="shared" si="17"/>
        <v>4</v>
      </c>
      <c r="S74" s="32" t="str">
        <f t="shared" si="18"/>
        <v>Not Eligible</v>
      </c>
      <c r="T74" s="32" t="str">
        <f ca="1" t="shared" si="19"/>
        <v>Not Eligible</v>
      </c>
      <c r="U74" s="32" t="str">
        <f t="shared" si="20"/>
        <v>Need Improvement</v>
      </c>
    </row>
    <row r="75" spans="1:21">
      <c r="A75" s="28" t="s">
        <v>233</v>
      </c>
      <c r="B75" s="28" t="s">
        <v>234</v>
      </c>
      <c r="C75" s="28" t="s">
        <v>23</v>
      </c>
      <c r="D75" s="28" t="s">
        <v>24</v>
      </c>
      <c r="E75" s="29">
        <v>45847</v>
      </c>
      <c r="F75" s="28">
        <v>52000</v>
      </c>
      <c r="G75" s="28">
        <v>5000</v>
      </c>
      <c r="H75" s="28">
        <v>3000</v>
      </c>
      <c r="I75" s="28">
        <v>26</v>
      </c>
      <c r="J75" s="28">
        <v>25</v>
      </c>
      <c r="K75" s="28">
        <v>133000</v>
      </c>
      <c r="L75" s="28">
        <v>119333</v>
      </c>
      <c r="M75" s="28" t="s">
        <v>25</v>
      </c>
      <c r="N75" s="28" t="s">
        <v>235</v>
      </c>
      <c r="O75" s="30">
        <f t="shared" si="15"/>
        <v>60000</v>
      </c>
      <c r="P75" s="31">
        <f t="shared" si="21"/>
        <v>0.961538461538462</v>
      </c>
      <c r="Q75" s="32">
        <f t="shared" si="16"/>
        <v>-13667</v>
      </c>
      <c r="R75" s="32">
        <f ca="1" t="shared" si="17"/>
        <v>1</v>
      </c>
      <c r="S75" s="32" t="str">
        <f t="shared" si="18"/>
        <v>Not Eligible</v>
      </c>
      <c r="T75" s="32" t="str">
        <f ca="1" t="shared" si="19"/>
        <v>Not Eligible</v>
      </c>
      <c r="U75" s="32" t="str">
        <f t="shared" si="20"/>
        <v>Need Improvement</v>
      </c>
    </row>
    <row r="76" spans="1:21">
      <c r="A76" s="28" t="s">
        <v>236</v>
      </c>
      <c r="B76" s="28" t="s">
        <v>237</v>
      </c>
      <c r="C76" s="28" t="s">
        <v>66</v>
      </c>
      <c r="D76" s="28" t="s">
        <v>67</v>
      </c>
      <c r="E76" s="29">
        <v>45335</v>
      </c>
      <c r="F76" s="28">
        <v>73000</v>
      </c>
      <c r="G76" s="28">
        <v>4500</v>
      </c>
      <c r="H76" s="28">
        <v>1500</v>
      </c>
      <c r="I76" s="28">
        <v>26</v>
      </c>
      <c r="J76" s="28">
        <v>21</v>
      </c>
      <c r="K76" s="28">
        <v>72000</v>
      </c>
      <c r="L76" s="28">
        <v>72351</v>
      </c>
      <c r="M76" s="28" t="s">
        <v>34</v>
      </c>
      <c r="N76" s="28" t="s">
        <v>238</v>
      </c>
      <c r="O76" s="30">
        <f t="shared" si="15"/>
        <v>79000</v>
      </c>
      <c r="P76" s="31">
        <f t="shared" si="21"/>
        <v>0.807692307692308</v>
      </c>
      <c r="Q76" s="32">
        <f t="shared" si="16"/>
        <v>351</v>
      </c>
      <c r="R76" s="32">
        <f ca="1" t="shared" si="17"/>
        <v>2</v>
      </c>
      <c r="S76" s="32" t="str">
        <f t="shared" si="18"/>
        <v>Eligible</v>
      </c>
      <c r="T76" s="32" t="str">
        <f ca="1" t="shared" si="19"/>
        <v>Not Eligible</v>
      </c>
      <c r="U76" s="32" t="str">
        <f t="shared" si="20"/>
        <v>Good</v>
      </c>
    </row>
    <row r="77" spans="1:21">
      <c r="A77" s="28" t="s">
        <v>239</v>
      </c>
      <c r="B77" s="28" t="s">
        <v>38</v>
      </c>
      <c r="C77" s="28" t="s">
        <v>53</v>
      </c>
      <c r="D77" s="28" t="s">
        <v>40</v>
      </c>
      <c r="E77" s="29">
        <v>44663</v>
      </c>
      <c r="F77" s="28">
        <v>77000</v>
      </c>
      <c r="G77" s="28">
        <v>1500</v>
      </c>
      <c r="H77" s="28">
        <v>2000</v>
      </c>
      <c r="I77" s="28">
        <v>26</v>
      </c>
      <c r="J77" s="28">
        <v>21</v>
      </c>
      <c r="K77" s="28">
        <v>136000</v>
      </c>
      <c r="L77" s="28">
        <v>121454</v>
      </c>
      <c r="M77" s="28" t="s">
        <v>25</v>
      </c>
      <c r="N77" s="28" t="s">
        <v>41</v>
      </c>
      <c r="O77" s="30">
        <f t="shared" si="15"/>
        <v>80500</v>
      </c>
      <c r="P77" s="31">
        <f t="shared" si="21"/>
        <v>0.807692307692308</v>
      </c>
      <c r="Q77" s="32">
        <f t="shared" si="16"/>
        <v>-14546</v>
      </c>
      <c r="R77" s="32">
        <f ca="1" t="shared" si="17"/>
        <v>4</v>
      </c>
      <c r="S77" s="32" t="str">
        <f t="shared" si="18"/>
        <v>Not Eligible</v>
      </c>
      <c r="T77" s="32" t="str">
        <f ca="1" t="shared" si="19"/>
        <v>Not Eligible</v>
      </c>
      <c r="U77" s="32" t="str">
        <f t="shared" si="20"/>
        <v>Need Improvement</v>
      </c>
    </row>
    <row r="78" spans="1:21">
      <c r="A78" s="28" t="s">
        <v>240</v>
      </c>
      <c r="B78" s="28" t="s">
        <v>44</v>
      </c>
      <c r="C78" s="28" t="s">
        <v>29</v>
      </c>
      <c r="D78" s="28" t="s">
        <v>30</v>
      </c>
      <c r="E78" s="29">
        <v>44343</v>
      </c>
      <c r="F78" s="28">
        <v>63000</v>
      </c>
      <c r="G78" s="28">
        <v>2000</v>
      </c>
      <c r="H78" s="28">
        <v>3000</v>
      </c>
      <c r="I78" s="28">
        <v>26</v>
      </c>
      <c r="J78" s="28">
        <v>26</v>
      </c>
      <c r="K78" s="28">
        <v>111000</v>
      </c>
      <c r="L78" s="28">
        <v>112791</v>
      </c>
      <c r="M78" s="28" t="s">
        <v>34</v>
      </c>
      <c r="N78" s="28" t="s">
        <v>45</v>
      </c>
      <c r="O78" s="30">
        <f t="shared" si="15"/>
        <v>68000</v>
      </c>
      <c r="P78" s="31">
        <f t="shared" si="21"/>
        <v>1</v>
      </c>
      <c r="Q78" s="32">
        <f t="shared" si="16"/>
        <v>1791</v>
      </c>
      <c r="R78" s="32">
        <f ca="1" t="shared" si="17"/>
        <v>5</v>
      </c>
      <c r="S78" s="32" t="str">
        <f t="shared" si="18"/>
        <v>Eligible</v>
      </c>
      <c r="T78" s="32" t="str">
        <f ca="1" t="shared" si="19"/>
        <v>Eligible</v>
      </c>
      <c r="U78" s="32" t="str">
        <f t="shared" si="20"/>
        <v>Excellent</v>
      </c>
    </row>
    <row r="79" spans="1:21">
      <c r="A79" s="28" t="s">
        <v>241</v>
      </c>
      <c r="B79" s="28" t="s">
        <v>242</v>
      </c>
      <c r="C79" s="28" t="s">
        <v>39</v>
      </c>
      <c r="D79" s="28" t="s">
        <v>40</v>
      </c>
      <c r="E79" s="29">
        <v>45446</v>
      </c>
      <c r="F79" s="28">
        <v>55000</v>
      </c>
      <c r="G79" s="28">
        <v>4000</v>
      </c>
      <c r="H79" s="28">
        <v>4000</v>
      </c>
      <c r="I79" s="28">
        <v>26</v>
      </c>
      <c r="J79" s="28">
        <v>20</v>
      </c>
      <c r="K79" s="28">
        <v>84000</v>
      </c>
      <c r="L79" s="28">
        <v>105882</v>
      </c>
      <c r="M79" s="28" t="s">
        <v>34</v>
      </c>
      <c r="N79" s="28" t="s">
        <v>243</v>
      </c>
      <c r="O79" s="30">
        <f t="shared" si="15"/>
        <v>63000</v>
      </c>
      <c r="P79" s="31">
        <f t="shared" si="21"/>
        <v>0.769230769230769</v>
      </c>
      <c r="Q79" s="32">
        <f t="shared" si="16"/>
        <v>21882</v>
      </c>
      <c r="R79" s="32">
        <f ca="1" t="shared" si="17"/>
        <v>2</v>
      </c>
      <c r="S79" s="32" t="str">
        <f t="shared" si="18"/>
        <v>Not Eligible</v>
      </c>
      <c r="T79" s="32" t="str">
        <f ca="1" t="shared" si="19"/>
        <v>Not Eligible</v>
      </c>
      <c r="U79" s="32" t="str">
        <f t="shared" si="20"/>
        <v>Good</v>
      </c>
    </row>
    <row r="80" spans="1:21">
      <c r="A80" s="28" t="s">
        <v>244</v>
      </c>
      <c r="B80" s="28" t="s">
        <v>57</v>
      </c>
      <c r="C80" s="28" t="s">
        <v>53</v>
      </c>
      <c r="D80" s="28" t="s">
        <v>40</v>
      </c>
      <c r="E80" s="29">
        <v>45355</v>
      </c>
      <c r="F80" s="28">
        <v>34000</v>
      </c>
      <c r="G80" s="28">
        <v>4500</v>
      </c>
      <c r="H80" s="28">
        <v>2000</v>
      </c>
      <c r="I80" s="28">
        <v>26</v>
      </c>
      <c r="J80" s="28">
        <v>22</v>
      </c>
      <c r="K80" s="28">
        <v>131000</v>
      </c>
      <c r="L80" s="28">
        <v>120448</v>
      </c>
      <c r="M80" s="28" t="s">
        <v>25</v>
      </c>
      <c r="N80" s="28" t="s">
        <v>58</v>
      </c>
      <c r="O80" s="30">
        <f t="shared" si="15"/>
        <v>40500</v>
      </c>
      <c r="P80" s="31">
        <f t="shared" si="21"/>
        <v>0.846153846153846</v>
      </c>
      <c r="Q80" s="32">
        <f t="shared" si="16"/>
        <v>-10552</v>
      </c>
      <c r="R80" s="32">
        <f ca="1" t="shared" si="17"/>
        <v>2</v>
      </c>
      <c r="S80" s="32" t="str">
        <f t="shared" si="18"/>
        <v>Not Eligible</v>
      </c>
      <c r="T80" s="32" t="str">
        <f ca="1" t="shared" si="19"/>
        <v>Not Eligible</v>
      </c>
      <c r="U80" s="32" t="str">
        <f t="shared" si="20"/>
        <v>Need Improvement</v>
      </c>
    </row>
    <row r="81" spans="1:21">
      <c r="A81" s="28" t="s">
        <v>245</v>
      </c>
      <c r="B81" s="28" t="s">
        <v>150</v>
      </c>
      <c r="C81" s="28" t="s">
        <v>29</v>
      </c>
      <c r="D81" s="28" t="s">
        <v>30</v>
      </c>
      <c r="E81" s="29">
        <v>44781</v>
      </c>
      <c r="F81" s="28">
        <v>71000</v>
      </c>
      <c r="G81" s="28">
        <v>3000</v>
      </c>
      <c r="H81" s="28">
        <v>500</v>
      </c>
      <c r="I81" s="28">
        <v>26</v>
      </c>
      <c r="J81" s="28">
        <v>21</v>
      </c>
      <c r="K81" s="28">
        <v>83000</v>
      </c>
      <c r="L81" s="28">
        <v>98953</v>
      </c>
      <c r="M81" s="28" t="s">
        <v>34</v>
      </c>
      <c r="N81" s="28" t="s">
        <v>151</v>
      </c>
      <c r="O81" s="30">
        <f t="shared" si="15"/>
        <v>74500</v>
      </c>
      <c r="P81" s="31">
        <f t="shared" si="21"/>
        <v>0.807692307692308</v>
      </c>
      <c r="Q81" s="32">
        <f t="shared" si="16"/>
        <v>15953</v>
      </c>
      <c r="R81" s="32">
        <f ca="1" t="shared" si="17"/>
        <v>3</v>
      </c>
      <c r="S81" s="32" t="str">
        <f t="shared" si="18"/>
        <v>Eligible</v>
      </c>
      <c r="T81" s="32" t="str">
        <f ca="1" t="shared" si="19"/>
        <v>Not Eligible</v>
      </c>
      <c r="U81" s="32" t="str">
        <f t="shared" si="20"/>
        <v>Good</v>
      </c>
    </row>
    <row r="82" spans="1:21">
      <c r="A82" s="28" t="s">
        <v>246</v>
      </c>
      <c r="B82" s="28" t="s">
        <v>131</v>
      </c>
      <c r="C82" s="28" t="s">
        <v>53</v>
      </c>
      <c r="D82" s="28" t="s">
        <v>40</v>
      </c>
      <c r="E82" s="29">
        <v>45084</v>
      </c>
      <c r="F82" s="28">
        <v>70000</v>
      </c>
      <c r="G82" s="28">
        <v>5000</v>
      </c>
      <c r="H82" s="28">
        <v>2500</v>
      </c>
      <c r="I82" s="28">
        <v>26</v>
      </c>
      <c r="J82" s="28">
        <v>24</v>
      </c>
      <c r="K82" s="28">
        <v>114000</v>
      </c>
      <c r="L82" s="28">
        <v>98577</v>
      </c>
      <c r="M82" s="28" t="s">
        <v>25</v>
      </c>
      <c r="N82" s="28" t="s">
        <v>132</v>
      </c>
      <c r="O82" s="30">
        <f t="shared" si="15"/>
        <v>77500</v>
      </c>
      <c r="P82" s="31">
        <f t="shared" si="21"/>
        <v>0.923076923076923</v>
      </c>
      <c r="Q82" s="32">
        <f t="shared" si="16"/>
        <v>-15423</v>
      </c>
      <c r="R82" s="32">
        <f ca="1" t="shared" si="17"/>
        <v>3</v>
      </c>
      <c r="S82" s="32" t="str">
        <f t="shared" si="18"/>
        <v>Not Eligible</v>
      </c>
      <c r="T82" s="32" t="str">
        <f ca="1" t="shared" si="19"/>
        <v>Not Eligible</v>
      </c>
      <c r="U82" s="32" t="str">
        <f t="shared" si="20"/>
        <v>Need Improvement</v>
      </c>
    </row>
    <row r="83" spans="1:21">
      <c r="A83" s="28" t="s">
        <v>247</v>
      </c>
      <c r="B83" s="28" t="s">
        <v>22</v>
      </c>
      <c r="C83" s="28" t="s">
        <v>23</v>
      </c>
      <c r="D83" s="28" t="s">
        <v>24</v>
      </c>
      <c r="E83" s="29">
        <v>44851</v>
      </c>
      <c r="F83" s="28">
        <v>54000</v>
      </c>
      <c r="G83" s="28">
        <v>3000</v>
      </c>
      <c r="H83" s="28">
        <v>3500</v>
      </c>
      <c r="I83" s="28">
        <v>26</v>
      </c>
      <c r="J83" s="28">
        <v>25</v>
      </c>
      <c r="K83" s="28">
        <v>83000</v>
      </c>
      <c r="L83" s="28">
        <v>97768</v>
      </c>
      <c r="M83" s="28" t="s">
        <v>34</v>
      </c>
      <c r="N83" s="28" t="s">
        <v>26</v>
      </c>
      <c r="O83" s="30">
        <f t="shared" si="15"/>
        <v>60500</v>
      </c>
      <c r="P83" s="31">
        <f t="shared" si="21"/>
        <v>0.961538461538462</v>
      </c>
      <c r="Q83" s="32">
        <f t="shared" si="16"/>
        <v>14768</v>
      </c>
      <c r="R83" s="32">
        <f ca="1" t="shared" si="17"/>
        <v>3</v>
      </c>
      <c r="S83" s="32" t="str">
        <f t="shared" si="18"/>
        <v>Not Eligible</v>
      </c>
      <c r="T83" s="32" t="str">
        <f ca="1" t="shared" si="19"/>
        <v>Not Eligible</v>
      </c>
      <c r="U83" s="32" t="str">
        <f t="shared" si="20"/>
        <v>Excellent</v>
      </c>
    </row>
    <row r="84" spans="1:21">
      <c r="A84" s="28" t="s">
        <v>248</v>
      </c>
      <c r="B84" s="28" t="s">
        <v>249</v>
      </c>
      <c r="C84" s="28" t="s">
        <v>66</v>
      </c>
      <c r="D84" s="28" t="s">
        <v>67</v>
      </c>
      <c r="E84" s="29">
        <v>44581</v>
      </c>
      <c r="F84" s="28">
        <v>73000</v>
      </c>
      <c r="G84" s="28">
        <v>5000</v>
      </c>
      <c r="H84" s="28">
        <v>2500</v>
      </c>
      <c r="I84" s="28">
        <v>26</v>
      </c>
      <c r="J84" s="28">
        <v>23</v>
      </c>
      <c r="K84" s="28">
        <v>87000</v>
      </c>
      <c r="L84" s="28">
        <v>83512</v>
      </c>
      <c r="M84" s="28" t="s">
        <v>25</v>
      </c>
      <c r="N84" s="28" t="s">
        <v>250</v>
      </c>
      <c r="O84" s="30">
        <f t="shared" si="15"/>
        <v>80500</v>
      </c>
      <c r="P84" s="31">
        <f t="shared" si="21"/>
        <v>0.884615384615385</v>
      </c>
      <c r="Q84" s="32">
        <f t="shared" si="16"/>
        <v>-3488</v>
      </c>
      <c r="R84" s="32">
        <f ca="1" t="shared" si="17"/>
        <v>4</v>
      </c>
      <c r="S84" s="32" t="str">
        <f t="shared" si="18"/>
        <v>Not Eligible</v>
      </c>
      <c r="T84" s="32" t="str">
        <f ca="1" t="shared" si="19"/>
        <v>Not Eligible</v>
      </c>
      <c r="U84" s="32" t="str">
        <f t="shared" si="20"/>
        <v>Need Improvement</v>
      </c>
    </row>
    <row r="85" spans="1:21">
      <c r="A85" s="28" t="s">
        <v>251</v>
      </c>
      <c r="B85" s="28" t="s">
        <v>252</v>
      </c>
      <c r="C85" s="28" t="s">
        <v>23</v>
      </c>
      <c r="D85" s="28" t="s">
        <v>24</v>
      </c>
      <c r="E85" s="29">
        <v>45656</v>
      </c>
      <c r="F85" s="28">
        <v>69000</v>
      </c>
      <c r="G85" s="28">
        <v>2000</v>
      </c>
      <c r="H85" s="28">
        <v>500</v>
      </c>
      <c r="I85" s="28">
        <v>26</v>
      </c>
      <c r="J85" s="28">
        <v>26</v>
      </c>
      <c r="K85" s="28">
        <v>134000</v>
      </c>
      <c r="L85" s="28">
        <v>131799</v>
      </c>
      <c r="M85" s="28" t="s">
        <v>25</v>
      </c>
      <c r="N85" s="28" t="s">
        <v>253</v>
      </c>
      <c r="O85" s="30">
        <f t="shared" si="15"/>
        <v>71500</v>
      </c>
      <c r="P85" s="31">
        <f t="shared" si="21"/>
        <v>1</v>
      </c>
      <c r="Q85" s="32">
        <f t="shared" si="16"/>
        <v>-2201</v>
      </c>
      <c r="R85" s="32">
        <f ca="1" t="shared" si="17"/>
        <v>1</v>
      </c>
      <c r="S85" s="32" t="str">
        <f t="shared" si="18"/>
        <v>Not Eligible</v>
      </c>
      <c r="T85" s="32" t="str">
        <f ca="1" t="shared" si="19"/>
        <v>Not Eligible</v>
      </c>
      <c r="U85" s="32" t="str">
        <f t="shared" si="20"/>
        <v>Need Improvement</v>
      </c>
    </row>
    <row r="86" spans="1:21">
      <c r="A86" s="28" t="s">
        <v>254</v>
      </c>
      <c r="B86" s="28" t="s">
        <v>255</v>
      </c>
      <c r="C86" s="28" t="s">
        <v>53</v>
      </c>
      <c r="D86" s="28" t="s">
        <v>40</v>
      </c>
      <c r="E86" s="29">
        <v>44180</v>
      </c>
      <c r="F86" s="28">
        <v>57000</v>
      </c>
      <c r="G86" s="28">
        <v>2500</v>
      </c>
      <c r="H86" s="28">
        <v>2500</v>
      </c>
      <c r="I86" s="28">
        <v>26</v>
      </c>
      <c r="J86" s="28">
        <v>23</v>
      </c>
      <c r="K86" s="28">
        <v>141000</v>
      </c>
      <c r="L86" s="28">
        <v>135580</v>
      </c>
      <c r="M86" s="28" t="s">
        <v>25</v>
      </c>
      <c r="N86" s="28" t="s">
        <v>256</v>
      </c>
      <c r="O86" s="30">
        <f t="shared" si="15"/>
        <v>62000</v>
      </c>
      <c r="P86" s="31">
        <f t="shared" si="21"/>
        <v>0.884615384615385</v>
      </c>
      <c r="Q86" s="32">
        <f t="shared" si="16"/>
        <v>-5420</v>
      </c>
      <c r="R86" s="32">
        <f ca="1" t="shared" si="17"/>
        <v>5</v>
      </c>
      <c r="S86" s="32" t="str">
        <f t="shared" si="18"/>
        <v>Not Eligible</v>
      </c>
      <c r="T86" s="32" t="str">
        <f ca="1" t="shared" si="19"/>
        <v>Not Eligible</v>
      </c>
      <c r="U86" s="32" t="str">
        <f t="shared" si="20"/>
        <v>Need Improvement</v>
      </c>
    </row>
    <row r="87" spans="1:21">
      <c r="A87" s="28" t="s">
        <v>257</v>
      </c>
      <c r="B87" s="28" t="s">
        <v>65</v>
      </c>
      <c r="C87" s="28" t="s">
        <v>66</v>
      </c>
      <c r="D87" s="28" t="s">
        <v>67</v>
      </c>
      <c r="E87" s="29">
        <v>44654</v>
      </c>
      <c r="F87" s="28">
        <v>47000</v>
      </c>
      <c r="G87" s="28">
        <v>2500</v>
      </c>
      <c r="H87" s="28">
        <v>2000</v>
      </c>
      <c r="I87" s="28">
        <v>26</v>
      </c>
      <c r="J87" s="28">
        <v>20</v>
      </c>
      <c r="K87" s="28">
        <v>117000</v>
      </c>
      <c r="L87" s="28">
        <v>141586</v>
      </c>
      <c r="M87" s="28" t="s">
        <v>34</v>
      </c>
      <c r="N87" s="28" t="s">
        <v>68</v>
      </c>
      <c r="O87" s="30">
        <f t="shared" si="15"/>
        <v>51500</v>
      </c>
      <c r="P87" s="31">
        <f t="shared" si="21"/>
        <v>0.769230769230769</v>
      </c>
      <c r="Q87" s="32">
        <f t="shared" si="16"/>
        <v>24586</v>
      </c>
      <c r="R87" s="32">
        <f ca="1" t="shared" si="17"/>
        <v>4</v>
      </c>
      <c r="S87" s="32" t="str">
        <f t="shared" si="18"/>
        <v>Not Eligible</v>
      </c>
      <c r="T87" s="32" t="str">
        <f ca="1" t="shared" si="19"/>
        <v>Not Eligible</v>
      </c>
      <c r="U87" s="32" t="str">
        <f t="shared" si="20"/>
        <v>Good</v>
      </c>
    </row>
    <row r="88" spans="1:21">
      <c r="A88" s="28" t="s">
        <v>258</v>
      </c>
      <c r="B88" s="28" t="s">
        <v>259</v>
      </c>
      <c r="C88" s="28" t="s">
        <v>39</v>
      </c>
      <c r="D88" s="28" t="s">
        <v>40</v>
      </c>
      <c r="E88" s="29">
        <v>44152</v>
      </c>
      <c r="F88" s="28">
        <v>37000</v>
      </c>
      <c r="G88" s="28">
        <v>3000</v>
      </c>
      <c r="H88" s="28">
        <v>2000</v>
      </c>
      <c r="I88" s="28">
        <v>26</v>
      </c>
      <c r="J88" s="28">
        <v>25</v>
      </c>
      <c r="K88" s="28">
        <v>128000</v>
      </c>
      <c r="L88" s="28">
        <v>152472</v>
      </c>
      <c r="M88" s="28" t="s">
        <v>34</v>
      </c>
      <c r="N88" s="28" t="s">
        <v>260</v>
      </c>
      <c r="O88" s="30">
        <f t="shared" si="15"/>
        <v>42000</v>
      </c>
      <c r="P88" s="31">
        <f t="shared" si="21"/>
        <v>0.961538461538462</v>
      </c>
      <c r="Q88" s="32">
        <f t="shared" si="16"/>
        <v>24472</v>
      </c>
      <c r="R88" s="32">
        <f ca="1" t="shared" si="17"/>
        <v>5</v>
      </c>
      <c r="S88" s="32" t="str">
        <f t="shared" si="18"/>
        <v>Not Eligible</v>
      </c>
      <c r="T88" s="32" t="str">
        <f ca="1" t="shared" si="19"/>
        <v>Eligible</v>
      </c>
      <c r="U88" s="32" t="str">
        <f t="shared" si="20"/>
        <v>Excellent</v>
      </c>
    </row>
    <row r="89" spans="1:21">
      <c r="A89" s="28" t="s">
        <v>261</v>
      </c>
      <c r="B89" s="28" t="s">
        <v>262</v>
      </c>
      <c r="C89" s="28" t="s">
        <v>23</v>
      </c>
      <c r="D89" s="28" t="s">
        <v>24</v>
      </c>
      <c r="E89" s="29">
        <v>44297</v>
      </c>
      <c r="F89" s="28">
        <v>45000</v>
      </c>
      <c r="G89" s="28">
        <v>1500</v>
      </c>
      <c r="H89" s="28">
        <v>2000</v>
      </c>
      <c r="I89" s="28">
        <v>26</v>
      </c>
      <c r="J89" s="28">
        <v>21</v>
      </c>
      <c r="K89" s="28">
        <v>110000</v>
      </c>
      <c r="L89" s="28">
        <v>93468</v>
      </c>
      <c r="M89" s="28" t="s">
        <v>25</v>
      </c>
      <c r="N89" s="28" t="s">
        <v>263</v>
      </c>
      <c r="O89" s="30">
        <f t="shared" si="15"/>
        <v>48500</v>
      </c>
      <c r="P89" s="31">
        <f t="shared" si="21"/>
        <v>0.807692307692308</v>
      </c>
      <c r="Q89" s="32">
        <f t="shared" si="16"/>
        <v>-16532</v>
      </c>
      <c r="R89" s="32">
        <f ca="1" t="shared" si="17"/>
        <v>5</v>
      </c>
      <c r="S89" s="32" t="str">
        <f t="shared" si="18"/>
        <v>Not Eligible</v>
      </c>
      <c r="T89" s="32" t="str">
        <f ca="1" t="shared" si="19"/>
        <v>Not Eligible</v>
      </c>
      <c r="U89" s="32" t="str">
        <f t="shared" si="20"/>
        <v>Need Improvement</v>
      </c>
    </row>
    <row r="90" spans="1:21">
      <c r="A90" s="28" t="s">
        <v>264</v>
      </c>
      <c r="B90" s="28" t="s">
        <v>142</v>
      </c>
      <c r="C90" s="28" t="s">
        <v>66</v>
      </c>
      <c r="D90" s="28" t="s">
        <v>67</v>
      </c>
      <c r="E90" s="29">
        <v>45263</v>
      </c>
      <c r="F90" s="28">
        <v>35000</v>
      </c>
      <c r="G90" s="28">
        <v>4000</v>
      </c>
      <c r="H90" s="28">
        <v>3500</v>
      </c>
      <c r="I90" s="28">
        <v>26</v>
      </c>
      <c r="J90" s="28">
        <v>21</v>
      </c>
      <c r="K90" s="28">
        <v>150000</v>
      </c>
      <c r="L90" s="28">
        <v>160478</v>
      </c>
      <c r="M90" s="28" t="s">
        <v>34</v>
      </c>
      <c r="N90" s="28" t="s">
        <v>143</v>
      </c>
      <c r="O90" s="30">
        <f t="shared" si="15"/>
        <v>42500</v>
      </c>
      <c r="P90" s="31">
        <f t="shared" si="21"/>
        <v>0.807692307692308</v>
      </c>
      <c r="Q90" s="32">
        <f t="shared" si="16"/>
        <v>10478</v>
      </c>
      <c r="R90" s="32">
        <f ca="1" t="shared" si="17"/>
        <v>2</v>
      </c>
      <c r="S90" s="32" t="str">
        <f t="shared" si="18"/>
        <v>Not Eligible</v>
      </c>
      <c r="T90" s="32" t="str">
        <f ca="1" t="shared" si="19"/>
        <v>Not Eligible</v>
      </c>
      <c r="U90" s="32" t="str">
        <f t="shared" si="20"/>
        <v>Good</v>
      </c>
    </row>
    <row r="91" spans="1:21">
      <c r="A91" s="28" t="s">
        <v>265</v>
      </c>
      <c r="B91" s="28" t="s">
        <v>266</v>
      </c>
      <c r="C91" s="28" t="s">
        <v>23</v>
      </c>
      <c r="D91" s="28" t="s">
        <v>24</v>
      </c>
      <c r="E91" s="29">
        <v>43867</v>
      </c>
      <c r="F91" s="28">
        <v>76000</v>
      </c>
      <c r="G91" s="28">
        <v>3500</v>
      </c>
      <c r="H91" s="28">
        <v>4000</v>
      </c>
      <c r="I91" s="28">
        <v>26</v>
      </c>
      <c r="J91" s="28">
        <v>22</v>
      </c>
      <c r="K91" s="28">
        <v>132000</v>
      </c>
      <c r="L91" s="28">
        <v>134897</v>
      </c>
      <c r="M91" s="28" t="s">
        <v>34</v>
      </c>
      <c r="N91" s="28" t="s">
        <v>267</v>
      </c>
      <c r="O91" s="30">
        <f t="shared" si="15"/>
        <v>83500</v>
      </c>
      <c r="P91" s="31">
        <f t="shared" si="21"/>
        <v>0.846153846153846</v>
      </c>
      <c r="Q91" s="32">
        <f t="shared" si="16"/>
        <v>2897</v>
      </c>
      <c r="R91" s="32">
        <f ca="1" t="shared" si="17"/>
        <v>6</v>
      </c>
      <c r="S91" s="32" t="str">
        <f t="shared" si="18"/>
        <v>Eligible</v>
      </c>
      <c r="T91" s="32" t="str">
        <f ca="1" t="shared" si="19"/>
        <v>Eligible</v>
      </c>
      <c r="U91" s="32" t="str">
        <f t="shared" si="20"/>
        <v>Good</v>
      </c>
    </row>
    <row r="92" spans="1:21">
      <c r="A92" s="28" t="s">
        <v>268</v>
      </c>
      <c r="B92" s="28" t="s">
        <v>269</v>
      </c>
      <c r="C92" s="28" t="s">
        <v>29</v>
      </c>
      <c r="D92" s="28" t="s">
        <v>30</v>
      </c>
      <c r="E92" s="29">
        <v>44864</v>
      </c>
      <c r="F92" s="28">
        <v>63000</v>
      </c>
      <c r="G92" s="28">
        <v>3000</v>
      </c>
      <c r="H92" s="28">
        <v>1500</v>
      </c>
      <c r="I92" s="28">
        <v>26</v>
      </c>
      <c r="J92" s="28">
        <v>21</v>
      </c>
      <c r="K92" s="28">
        <v>85000</v>
      </c>
      <c r="L92" s="28">
        <v>97168</v>
      </c>
      <c r="M92" s="28" t="s">
        <v>34</v>
      </c>
      <c r="N92" s="28" t="s">
        <v>270</v>
      </c>
      <c r="O92" s="30">
        <f t="shared" si="15"/>
        <v>67500</v>
      </c>
      <c r="P92" s="31">
        <f t="shared" si="21"/>
        <v>0.807692307692308</v>
      </c>
      <c r="Q92" s="32">
        <f t="shared" si="16"/>
        <v>12168</v>
      </c>
      <c r="R92" s="32">
        <f ca="1" t="shared" si="17"/>
        <v>3</v>
      </c>
      <c r="S92" s="32" t="str">
        <f t="shared" si="18"/>
        <v>Eligible</v>
      </c>
      <c r="T92" s="32" t="str">
        <f ca="1" t="shared" si="19"/>
        <v>Not Eligible</v>
      </c>
      <c r="U92" s="32" t="str">
        <f t="shared" si="20"/>
        <v>Good</v>
      </c>
    </row>
    <row r="93" spans="1:21">
      <c r="A93" s="28" t="s">
        <v>271</v>
      </c>
      <c r="B93" s="28" t="s">
        <v>272</v>
      </c>
      <c r="C93" s="28" t="s">
        <v>53</v>
      </c>
      <c r="D93" s="28" t="s">
        <v>40</v>
      </c>
      <c r="E93" s="29">
        <v>45272</v>
      </c>
      <c r="F93" s="28">
        <v>42000</v>
      </c>
      <c r="G93" s="28">
        <v>3000</v>
      </c>
      <c r="H93" s="28">
        <v>1500</v>
      </c>
      <c r="I93" s="28">
        <v>26</v>
      </c>
      <c r="J93" s="28">
        <v>20</v>
      </c>
      <c r="K93" s="28">
        <v>116000</v>
      </c>
      <c r="L93" s="28">
        <v>99291</v>
      </c>
      <c r="M93" s="28" t="s">
        <v>25</v>
      </c>
      <c r="N93" s="28" t="s">
        <v>273</v>
      </c>
      <c r="O93" s="30">
        <f t="shared" si="15"/>
        <v>46500</v>
      </c>
      <c r="P93" s="31">
        <f t="shared" si="21"/>
        <v>0.769230769230769</v>
      </c>
      <c r="Q93" s="32">
        <f t="shared" si="16"/>
        <v>-16709</v>
      </c>
      <c r="R93" s="32">
        <f ca="1" t="shared" si="17"/>
        <v>2</v>
      </c>
      <c r="S93" s="32" t="str">
        <f t="shared" si="18"/>
        <v>Not Eligible</v>
      </c>
      <c r="T93" s="32" t="str">
        <f ca="1" t="shared" si="19"/>
        <v>Not Eligible</v>
      </c>
      <c r="U93" s="32" t="str">
        <f t="shared" si="20"/>
        <v>Need Improvement</v>
      </c>
    </row>
    <row r="94" spans="1:21">
      <c r="A94" s="28" t="s">
        <v>274</v>
      </c>
      <c r="B94" s="28" t="s">
        <v>177</v>
      </c>
      <c r="C94" s="28" t="s">
        <v>29</v>
      </c>
      <c r="D94" s="28" t="s">
        <v>30</v>
      </c>
      <c r="E94" s="29">
        <v>44412</v>
      </c>
      <c r="F94" s="28">
        <v>61000</v>
      </c>
      <c r="G94" s="28">
        <v>2500</v>
      </c>
      <c r="H94" s="28">
        <v>2000</v>
      </c>
      <c r="I94" s="28">
        <v>26</v>
      </c>
      <c r="J94" s="28">
        <v>20</v>
      </c>
      <c r="K94" s="28">
        <v>94000</v>
      </c>
      <c r="L94" s="28">
        <v>84248</v>
      </c>
      <c r="M94" s="28" t="s">
        <v>25</v>
      </c>
      <c r="N94" s="28" t="s">
        <v>178</v>
      </c>
      <c r="O94" s="30">
        <f t="shared" si="15"/>
        <v>65500</v>
      </c>
      <c r="P94" s="31">
        <f t="shared" si="21"/>
        <v>0.769230769230769</v>
      </c>
      <c r="Q94" s="32">
        <f t="shared" si="16"/>
        <v>-9752</v>
      </c>
      <c r="R94" s="32">
        <f ca="1" t="shared" si="17"/>
        <v>4</v>
      </c>
      <c r="S94" s="32" t="str">
        <f t="shared" si="18"/>
        <v>Not Eligible</v>
      </c>
      <c r="T94" s="32" t="str">
        <f ca="1" t="shared" si="19"/>
        <v>Not Eligible</v>
      </c>
      <c r="U94" s="32" t="str">
        <f t="shared" si="20"/>
        <v>Need Improvement</v>
      </c>
    </row>
    <row r="95" spans="1:21">
      <c r="A95" s="28" t="s">
        <v>275</v>
      </c>
      <c r="B95" s="28" t="s">
        <v>186</v>
      </c>
      <c r="C95" s="28" t="s">
        <v>66</v>
      </c>
      <c r="D95" s="28" t="s">
        <v>67</v>
      </c>
      <c r="E95" s="29">
        <v>43962</v>
      </c>
      <c r="F95" s="28">
        <v>53000</v>
      </c>
      <c r="G95" s="28">
        <v>2000</v>
      </c>
      <c r="H95" s="28">
        <v>1500</v>
      </c>
      <c r="I95" s="28">
        <v>26</v>
      </c>
      <c r="J95" s="28">
        <v>22</v>
      </c>
      <c r="K95" s="28">
        <v>94000</v>
      </c>
      <c r="L95" s="28">
        <v>75097</v>
      </c>
      <c r="M95" s="28" t="s">
        <v>25</v>
      </c>
      <c r="N95" s="28" t="s">
        <v>187</v>
      </c>
      <c r="O95" s="30">
        <f t="shared" si="15"/>
        <v>56500</v>
      </c>
      <c r="P95" s="31">
        <f t="shared" si="21"/>
        <v>0.846153846153846</v>
      </c>
      <c r="Q95" s="32">
        <f t="shared" si="16"/>
        <v>-18903</v>
      </c>
      <c r="R95" s="32">
        <f ca="1" t="shared" si="17"/>
        <v>6</v>
      </c>
      <c r="S95" s="32" t="str">
        <f t="shared" si="18"/>
        <v>Not Eligible</v>
      </c>
      <c r="T95" s="32" t="str">
        <f ca="1" t="shared" si="19"/>
        <v>Not Eligible</v>
      </c>
      <c r="U95" s="32" t="str">
        <f t="shared" si="20"/>
        <v>Need Improvement</v>
      </c>
    </row>
    <row r="96" spans="1:21">
      <c r="A96" s="28" t="s">
        <v>276</v>
      </c>
      <c r="B96" s="28" t="s">
        <v>277</v>
      </c>
      <c r="C96" s="28" t="s">
        <v>66</v>
      </c>
      <c r="D96" s="28" t="s">
        <v>67</v>
      </c>
      <c r="E96" s="29">
        <v>44512</v>
      </c>
      <c r="F96" s="28">
        <v>50000</v>
      </c>
      <c r="G96" s="28">
        <v>3000</v>
      </c>
      <c r="H96" s="28">
        <v>4000</v>
      </c>
      <c r="I96" s="28">
        <v>26</v>
      </c>
      <c r="J96" s="28">
        <v>20</v>
      </c>
      <c r="K96" s="28">
        <v>74000</v>
      </c>
      <c r="L96" s="28">
        <v>63521</v>
      </c>
      <c r="M96" s="28" t="s">
        <v>25</v>
      </c>
      <c r="N96" s="28" t="s">
        <v>278</v>
      </c>
      <c r="O96" s="30">
        <f t="shared" si="15"/>
        <v>57000</v>
      </c>
      <c r="P96" s="31">
        <f t="shared" si="21"/>
        <v>0.769230769230769</v>
      </c>
      <c r="Q96" s="32">
        <f t="shared" si="16"/>
        <v>-10479</v>
      </c>
      <c r="R96" s="32">
        <f ca="1" t="shared" si="17"/>
        <v>4</v>
      </c>
      <c r="S96" s="32" t="str">
        <f t="shared" si="18"/>
        <v>Not Eligible</v>
      </c>
      <c r="T96" s="32" t="str">
        <f ca="1" t="shared" si="19"/>
        <v>Not Eligible</v>
      </c>
      <c r="U96" s="32" t="str">
        <f t="shared" si="20"/>
        <v>Need Improvement</v>
      </c>
    </row>
    <row r="97" spans="1:21">
      <c r="A97" s="28" t="s">
        <v>279</v>
      </c>
      <c r="B97" s="28" t="s">
        <v>186</v>
      </c>
      <c r="C97" s="28" t="s">
        <v>53</v>
      </c>
      <c r="D97" s="28" t="s">
        <v>40</v>
      </c>
      <c r="E97" s="29">
        <v>45846</v>
      </c>
      <c r="F97" s="28">
        <v>48000</v>
      </c>
      <c r="G97" s="28">
        <v>4000</v>
      </c>
      <c r="H97" s="28">
        <v>2000</v>
      </c>
      <c r="I97" s="28">
        <v>26</v>
      </c>
      <c r="J97" s="28">
        <v>23</v>
      </c>
      <c r="K97" s="28">
        <v>146000</v>
      </c>
      <c r="L97" s="28">
        <v>169439</v>
      </c>
      <c r="M97" s="28" t="s">
        <v>34</v>
      </c>
      <c r="N97" s="28" t="s">
        <v>187</v>
      </c>
      <c r="O97" s="30">
        <f t="shared" si="15"/>
        <v>54000</v>
      </c>
      <c r="P97" s="31">
        <f t="shared" si="21"/>
        <v>0.884615384615385</v>
      </c>
      <c r="Q97" s="32">
        <f t="shared" si="16"/>
        <v>23439</v>
      </c>
      <c r="R97" s="32">
        <f ca="1" t="shared" si="17"/>
        <v>1</v>
      </c>
      <c r="S97" s="32" t="str">
        <f t="shared" si="18"/>
        <v>Not Eligible</v>
      </c>
      <c r="T97" s="32" t="str">
        <f ca="1" t="shared" si="19"/>
        <v>Not Eligible</v>
      </c>
      <c r="U97" s="32" t="str">
        <f t="shared" si="20"/>
        <v>Good</v>
      </c>
    </row>
    <row r="98" spans="1:21">
      <c r="A98" s="28" t="s">
        <v>280</v>
      </c>
      <c r="B98" s="28" t="s">
        <v>183</v>
      </c>
      <c r="C98" s="28" t="s">
        <v>39</v>
      </c>
      <c r="D98" s="28" t="s">
        <v>40</v>
      </c>
      <c r="E98" s="29">
        <v>44869</v>
      </c>
      <c r="F98" s="28">
        <v>74000</v>
      </c>
      <c r="G98" s="28">
        <v>2500</v>
      </c>
      <c r="H98" s="28">
        <v>3000</v>
      </c>
      <c r="I98" s="28">
        <v>26</v>
      </c>
      <c r="J98" s="28">
        <v>21</v>
      </c>
      <c r="K98" s="28">
        <v>139000</v>
      </c>
      <c r="L98" s="28">
        <v>151682</v>
      </c>
      <c r="M98" s="28" t="s">
        <v>34</v>
      </c>
      <c r="N98" s="28" t="s">
        <v>184</v>
      </c>
      <c r="O98" s="30">
        <f t="shared" si="15"/>
        <v>79500</v>
      </c>
      <c r="P98" s="31">
        <f t="shared" si="21"/>
        <v>0.807692307692308</v>
      </c>
      <c r="Q98" s="32">
        <f t="shared" si="16"/>
        <v>12682</v>
      </c>
      <c r="R98" s="32">
        <f ca="1" t="shared" si="17"/>
        <v>3</v>
      </c>
      <c r="S98" s="32" t="str">
        <f t="shared" si="18"/>
        <v>Eligible</v>
      </c>
      <c r="T98" s="32" t="str">
        <f ca="1" t="shared" si="19"/>
        <v>Not Eligible</v>
      </c>
      <c r="U98" s="32" t="str">
        <f t="shared" si="20"/>
        <v>Good</v>
      </c>
    </row>
    <row r="99" spans="1:21">
      <c r="A99" s="28" t="s">
        <v>281</v>
      </c>
      <c r="B99" s="28" t="s">
        <v>228</v>
      </c>
      <c r="C99" s="28" t="s">
        <v>39</v>
      </c>
      <c r="D99" s="28" t="s">
        <v>40</v>
      </c>
      <c r="E99" s="29">
        <v>44304</v>
      </c>
      <c r="F99" s="28">
        <v>48000</v>
      </c>
      <c r="G99" s="28">
        <v>5000</v>
      </c>
      <c r="H99" s="28">
        <v>500</v>
      </c>
      <c r="I99" s="28">
        <v>26</v>
      </c>
      <c r="J99" s="28">
        <v>24</v>
      </c>
      <c r="K99" s="28">
        <v>100000</v>
      </c>
      <c r="L99" s="28">
        <v>95926</v>
      </c>
      <c r="M99" s="28" t="s">
        <v>25</v>
      </c>
      <c r="N99" s="28" t="s">
        <v>229</v>
      </c>
      <c r="O99" s="30">
        <f t="shared" si="15"/>
        <v>53500</v>
      </c>
      <c r="P99" s="31">
        <f t="shared" si="21"/>
        <v>0.923076923076923</v>
      </c>
      <c r="Q99" s="32">
        <f t="shared" si="16"/>
        <v>-4074</v>
      </c>
      <c r="R99" s="32">
        <f ca="1" t="shared" si="17"/>
        <v>5</v>
      </c>
      <c r="S99" s="32" t="str">
        <f t="shared" si="18"/>
        <v>Not Eligible</v>
      </c>
      <c r="T99" s="32" t="str">
        <f ca="1" t="shared" si="19"/>
        <v>Not Eligible</v>
      </c>
      <c r="U99" s="32" t="str">
        <f t="shared" si="20"/>
        <v>Need Improvement</v>
      </c>
    </row>
    <row r="100" spans="1:21">
      <c r="A100" s="28" t="s">
        <v>282</v>
      </c>
      <c r="B100" s="28" t="s">
        <v>283</v>
      </c>
      <c r="C100" s="28" t="s">
        <v>53</v>
      </c>
      <c r="D100" s="28" t="s">
        <v>40</v>
      </c>
      <c r="E100" s="29">
        <v>44463</v>
      </c>
      <c r="F100" s="28">
        <v>63000</v>
      </c>
      <c r="G100" s="28">
        <v>5000</v>
      </c>
      <c r="H100" s="28">
        <v>3500</v>
      </c>
      <c r="I100" s="28">
        <v>26</v>
      </c>
      <c r="J100" s="28">
        <v>25</v>
      </c>
      <c r="K100" s="28">
        <v>92000</v>
      </c>
      <c r="L100" s="28">
        <v>106558</v>
      </c>
      <c r="M100" s="28" t="s">
        <v>34</v>
      </c>
      <c r="N100" s="28" t="s">
        <v>284</v>
      </c>
      <c r="O100" s="30">
        <f t="shared" si="15"/>
        <v>71500</v>
      </c>
      <c r="P100" s="31">
        <f t="shared" si="21"/>
        <v>0.961538461538462</v>
      </c>
      <c r="Q100" s="32">
        <f t="shared" si="16"/>
        <v>14558</v>
      </c>
      <c r="R100" s="32">
        <f ca="1" t="shared" si="17"/>
        <v>4</v>
      </c>
      <c r="S100" s="32" t="str">
        <f t="shared" si="18"/>
        <v>Eligible</v>
      </c>
      <c r="T100" s="32" t="str">
        <f ca="1" t="shared" si="19"/>
        <v>Not Eligible</v>
      </c>
      <c r="U100" s="32" t="str">
        <f t="shared" si="20"/>
        <v>Excellent</v>
      </c>
    </row>
    <row r="101" spans="1:21">
      <c r="A101" s="28" t="s">
        <v>285</v>
      </c>
      <c r="B101" s="28" t="s">
        <v>71</v>
      </c>
      <c r="C101" s="28" t="s">
        <v>39</v>
      </c>
      <c r="D101" s="28" t="s">
        <v>40</v>
      </c>
      <c r="E101" s="29">
        <v>45864</v>
      </c>
      <c r="F101" s="28">
        <v>64000</v>
      </c>
      <c r="G101" s="28">
        <v>2000</v>
      </c>
      <c r="H101" s="28">
        <v>1000</v>
      </c>
      <c r="I101" s="28">
        <v>26</v>
      </c>
      <c r="J101" s="28">
        <v>24</v>
      </c>
      <c r="K101" s="28">
        <v>121000</v>
      </c>
      <c r="L101" s="28">
        <v>113944</v>
      </c>
      <c r="M101" s="28" t="s">
        <v>25</v>
      </c>
      <c r="N101" s="28" t="s">
        <v>72</v>
      </c>
      <c r="O101" s="30">
        <f t="shared" si="15"/>
        <v>67000</v>
      </c>
      <c r="P101" s="31">
        <f t="shared" si="21"/>
        <v>0.923076923076923</v>
      </c>
      <c r="Q101" s="32">
        <f t="shared" si="16"/>
        <v>-7056</v>
      </c>
      <c r="R101" s="32">
        <f ca="1" t="shared" si="17"/>
        <v>1</v>
      </c>
      <c r="S101" s="32" t="str">
        <f t="shared" si="18"/>
        <v>Not Eligible</v>
      </c>
      <c r="T101" s="32" t="str">
        <f ca="1" t="shared" si="19"/>
        <v>Not Eligible</v>
      </c>
      <c r="U101" s="32" t="str">
        <f t="shared" si="20"/>
        <v>Need Improvement</v>
      </c>
    </row>
  </sheetData>
  <mergeCells count="4">
    <mergeCell ref="X22:Y22"/>
    <mergeCell ref="X26:Z26"/>
    <mergeCell ref="X36:Y36"/>
    <mergeCell ref="X41:Y41"/>
  </mergeCells>
  <conditionalFormatting sqref="U2">
    <cfRule type="containsText" dxfId="24" priority="2" operator="between" text="Need Improvement">
      <formula>NOT(ISERROR(SEARCH("Need Improvement",U2)))</formula>
    </cfRule>
  </conditionalFormatting>
  <conditionalFormatting sqref="U2:U101">
    <cfRule type="containsText" dxfId="24" priority="1" operator="between" text="Need Improvement">
      <formula>NOT(ISERROR(SEARCH("Need Improvement",U2)))</formula>
    </cfRule>
  </conditionalFormatting>
  <dataValidations count="4">
    <dataValidation type="list" allowBlank="1" showInputMessage="1" showErrorMessage="1" sqref="T13:W13">
      <formula1>$C$9:$C$101</formula1>
    </dataValidation>
    <dataValidation type="list" allowBlank="1" showInputMessage="1" showErrorMessage="1" sqref="T14:W14">
      <formula1>$M$2:$M$101</formula1>
    </dataValidation>
    <dataValidation type="list" allowBlank="1" showInputMessage="1" showErrorMessage="1" sqref="T18:W18">
      <formula1>$C$2:$C$101</formula1>
    </dataValidation>
    <dataValidation type="list" allowBlank="1" showInputMessage="1" showErrorMessage="1" sqref="W24 W38 W43">
      <formula1>$A$2:$A$101</formula1>
    </dataValidation>
  </dataValidations>
  <hyperlinks>
    <hyperlink ref="N70" r:id="rId3" display="nayeem.hoain@company.com"/>
  </hyperlinks>
  <pageMargins left="0.75" right="0.75" top="1" bottom="1" header="0.5" footer="0.5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6"/>
  <sheetViews>
    <sheetView workbookViewId="0">
      <selection activeCell="D65" sqref="D65"/>
    </sheetView>
  </sheetViews>
  <sheetFormatPr defaultColWidth="8.88888888888889" defaultRowHeight="14.4" outlineLevelCol="3"/>
  <cols>
    <col min="1" max="1" width="14.8888888888889"/>
    <col min="2" max="2" width="21.2222222222222"/>
  </cols>
  <sheetData>
    <row r="3" spans="1:2">
      <c r="A3" t="s">
        <v>2</v>
      </c>
      <c r="B3" t="s">
        <v>286</v>
      </c>
    </row>
    <row r="4" spans="1:2">
      <c r="A4" t="s">
        <v>66</v>
      </c>
      <c r="B4">
        <v>990000</v>
      </c>
    </row>
    <row r="5" spans="1:2">
      <c r="A5" t="s">
        <v>29</v>
      </c>
      <c r="B5">
        <v>475000</v>
      </c>
    </row>
    <row r="6" spans="1:2">
      <c r="A6" t="s">
        <v>23</v>
      </c>
      <c r="B6">
        <v>496000</v>
      </c>
    </row>
    <row r="7" spans="1:2">
      <c r="A7" t="s">
        <v>39</v>
      </c>
      <c r="B7">
        <v>496000</v>
      </c>
    </row>
    <row r="8" spans="1:2">
      <c r="A8" t="s">
        <v>136</v>
      </c>
      <c r="B8">
        <v>2457000</v>
      </c>
    </row>
    <row r="17" spans="1:2">
      <c r="A17" t="s">
        <v>2</v>
      </c>
      <c r="B17" t="s">
        <v>117</v>
      </c>
    </row>
    <row r="18" spans="1:2">
      <c r="A18" t="s">
        <v>66</v>
      </c>
      <c r="B18">
        <v>18</v>
      </c>
    </row>
    <row r="19" spans="1:2">
      <c r="A19" t="s">
        <v>29</v>
      </c>
      <c r="B19">
        <v>8</v>
      </c>
    </row>
    <row r="20" spans="1:2">
      <c r="A20" t="s">
        <v>23</v>
      </c>
      <c r="B20">
        <v>8</v>
      </c>
    </row>
    <row r="21" spans="1:2">
      <c r="A21" t="s">
        <v>39</v>
      </c>
      <c r="B21">
        <v>10</v>
      </c>
    </row>
    <row r="22" spans="1:2">
      <c r="A22" t="s">
        <v>136</v>
      </c>
      <c r="B22">
        <v>44</v>
      </c>
    </row>
    <row r="28" spans="1:2">
      <c r="A28" t="s">
        <v>2</v>
      </c>
      <c r="B28" t="s">
        <v>117</v>
      </c>
    </row>
    <row r="29" spans="1:2">
      <c r="A29" t="s">
        <v>66</v>
      </c>
      <c r="B29">
        <v>18</v>
      </c>
    </row>
    <row r="30" spans="1:2">
      <c r="A30" t="s">
        <v>29</v>
      </c>
      <c r="B30">
        <v>8</v>
      </c>
    </row>
    <row r="31" spans="1:2">
      <c r="A31" t="s">
        <v>23</v>
      </c>
      <c r="B31">
        <v>8</v>
      </c>
    </row>
    <row r="32" spans="1:2">
      <c r="A32" t="s">
        <v>39</v>
      </c>
      <c r="B32">
        <v>10</v>
      </c>
    </row>
    <row r="33" spans="1:2">
      <c r="A33" t="s">
        <v>136</v>
      </c>
      <c r="B33">
        <v>44</v>
      </c>
    </row>
    <row r="45" spans="1:2">
      <c r="A45" t="s">
        <v>117</v>
      </c>
    </row>
    <row r="46" spans="1:2">
      <c r="A46">
        <v>44</v>
      </c>
    </row>
    <row r="48" spans="1:2">
      <c r="A48" t="s">
        <v>286</v>
      </c>
    </row>
    <row r="49" spans="1:4">
      <c r="A49">
        <v>2457000</v>
      </c>
    </row>
    <row r="51" spans="1:4">
      <c r="A51" t="s">
        <v>120</v>
      </c>
    </row>
    <row r="52" spans="1:4">
      <c r="A52">
        <v>55840.9090909091</v>
      </c>
    </row>
    <row r="55" spans="1:4">
      <c r="A55" t="s">
        <v>12</v>
      </c>
      <c r="B55" t="s">
        <v>117</v>
      </c>
    </row>
    <row r="56" spans="1:4">
      <c r="A56" t="s">
        <v>25</v>
      </c>
      <c r="B56">
        <v>32</v>
      </c>
    </row>
    <row r="57" spans="1:4">
      <c r="A57" t="s">
        <v>136</v>
      </c>
      <c r="B57">
        <v>32</v>
      </c>
    </row>
    <row r="60" spans="1:4">
      <c r="A60" t="s">
        <v>2</v>
      </c>
      <c r="B60" t="s">
        <v>287</v>
      </c>
    </row>
    <row r="61" spans="1:4">
      <c r="A61" t="s">
        <v>66</v>
      </c>
      <c r="B61">
        <v>27</v>
      </c>
    </row>
    <row r="62" spans="1:4">
      <c r="A62" t="s">
        <v>29</v>
      </c>
      <c r="B62">
        <v>17</v>
      </c>
    </row>
    <row r="63" spans="1:4">
      <c r="A63" t="s">
        <v>23</v>
      </c>
      <c r="B63">
        <v>16</v>
      </c>
    </row>
    <row r="64" spans="1:4">
      <c r="A64" t="s">
        <v>39</v>
      </c>
      <c r="B64">
        <v>16</v>
      </c>
      <c r="D64">
        <f>COUNTA(A61:A65)</f>
        <v>5</v>
      </c>
    </row>
    <row r="65" spans="1:2">
      <c r="A65" t="s">
        <v>53</v>
      </c>
      <c r="B65">
        <v>24</v>
      </c>
    </row>
    <row r="66" spans="1:2">
      <c r="A66" t="s">
        <v>136</v>
      </c>
      <c r="B66">
        <v>100</v>
      </c>
    </row>
  </sheetData>
  <pageMargins left="0.75" right="0.75" top="1" bottom="1" header="0.5" footer="0.5"/>
  <headerFooter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showGridLines="0" tabSelected="1" zoomScale="55" zoomScaleNormal="55" workbookViewId="0">
      <selection activeCell="P16" sqref="P16"/>
    </sheetView>
  </sheetViews>
  <sheetFormatPr defaultColWidth="8.88888888888889" defaultRowHeight="14.4"/>
  <sheetData>
    <row r="1" spans="1:13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5.15"/>
    <row r="4" spans="1:13">
      <c r="B4" s="7" t="s">
        <v>42</v>
      </c>
      <c r="C4" s="8"/>
      <c r="E4" s="7" t="s">
        <v>50</v>
      </c>
      <c r="F4" s="8"/>
    </row>
    <row r="5" spans="1:13">
      <c r="B5" s="9">
        <f>GETPIVOTDATA("Employee ID",chart!$A$45)</f>
        <v>44</v>
      </c>
      <c r="C5" s="10"/>
      <c r="E5" s="9">
        <f>GETPIVOTDATA("Basic Salary",chart!$A$51)</f>
        <v>55840.9090909091</v>
      </c>
      <c r="F5" s="10"/>
    </row>
    <row r="6" ht="15.15" spans="1:13">
      <c r="B6" s="11"/>
      <c r="C6" s="12"/>
      <c r="E6" s="11"/>
      <c r="F6" s="12"/>
    </row>
    <row r="7" ht="15.15"/>
    <row r="8" spans="1:13">
      <c r="B8" s="7" t="s">
        <v>85</v>
      </c>
      <c r="C8" s="8"/>
      <c r="E8" s="7" t="s">
        <v>289</v>
      </c>
      <c r="F8" s="8"/>
    </row>
    <row r="9" spans="1:13">
      <c r="B9" s="13">
        <f>GETPIVOTDATA("Basic Salary",chart!$A$48)</f>
        <v>2457000</v>
      </c>
      <c r="C9" s="14"/>
      <c r="E9" s="15">
        <f>chart!D64</f>
        <v>5</v>
      </c>
      <c r="F9" s="16"/>
    </row>
    <row r="10" ht="15.15" spans="1:13">
      <c r="B10" s="17"/>
      <c r="C10" s="18"/>
      <c r="E10" s="19"/>
      <c r="F10" s="20"/>
    </row>
    <row r="15" spans="1:13">
      <c r="B15" s="21"/>
      <c r="C15" s="21"/>
      <c r="D15" s="21"/>
      <c r="E15" s="21"/>
    </row>
    <row r="17" spans="2:12">
      <c r="C17" s="22"/>
    </row>
    <row r="19" ht="15.15"/>
    <row r="20" ht="15.15" spans="2:12">
      <c r="B20" s="23" t="s">
        <v>290</v>
      </c>
      <c r="C20" s="24"/>
      <c r="D20" s="24"/>
      <c r="E20" s="25"/>
      <c r="I20" s="23" t="s">
        <v>290</v>
      </c>
      <c r="J20" s="24"/>
      <c r="K20" s="24"/>
      <c r="L20" s="25"/>
    </row>
    <row r="34" ht="15.15"/>
    <row r="35" ht="15.15" spans="2:5">
      <c r="B35" s="26" t="s">
        <v>291</v>
      </c>
      <c r="C35" s="24"/>
      <c r="D35" s="24"/>
      <c r="E35" s="25"/>
    </row>
  </sheetData>
  <mergeCells count="12">
    <mergeCell ref="B4:C4"/>
    <mergeCell ref="E4:F4"/>
    <mergeCell ref="B8:C8"/>
    <mergeCell ref="E8:F8"/>
    <mergeCell ref="B20:E20"/>
    <mergeCell ref="I20:L20"/>
    <mergeCell ref="B35:E35"/>
    <mergeCell ref="B5:C6"/>
    <mergeCell ref="B9:C10"/>
    <mergeCell ref="E5:F6"/>
    <mergeCell ref="E9:F10"/>
    <mergeCell ref="A1:M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datasheet</vt:lpstr>
      <vt:lpstr>chart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mahbub islam</cp:lastModifiedBy>
  <dcterms:created xsi:type="dcterms:W3CDTF">2026-07-31T16:31:00Z</dcterms:created>
  <dcterms:modified xsi:type="dcterms:W3CDTF">2026-08-01T22:24:23Z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806C2558C95E44C08A6D0B911703D307_13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